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2" name="Summary" state="visible" r:id="rId4"/>
    <sheet sheetId="1" name="Routes" state="visible" r:id="rId5"/>
  </sheets>
  <definedNames>
    <definedName name="_xlnm.Print_Area" localSheetId="0">'Summary'!$A1:$C23</definedName>
    <definedName name="_xlnm.Print_Titles" localSheetId="1">'Routes'!$1:$1</definedName>
  </definedNames>
  <calcPr calcId="171027"/>
</workbook>
</file>

<file path=xl/sharedStrings.xml><?xml version="1.0" encoding="utf-8"?>
<sst xmlns="http://schemas.openxmlformats.org/spreadsheetml/2006/main" count="916" uniqueCount="243">
  <si>
    <t>Proposed quarter-hour contract clocks</t>
  </si>
  <si>
    <t>One school day. Contracted route clocks as of October 5, 2026.</t>
  </si>
  <si>
    <t>If a clock-in is not already on :00, :15, :30, or :45, it moves earlier to the previous quarter hour. If a clock-out is not already on a quarter hour, it moves later to the next one. Each route is then clocked at those new times.</t>
  </si>
  <si>
    <t>Extra paid hours</t>
  </si>
  <si>
    <t>Full Day Rounded Quarter Hours now</t>
  </si>
  <si>
    <t>Hours proposed</t>
  </si>
  <si>
    <t>Routes with contracted clocks</t>
  </si>
  <si>
    <t>Increase</t>
  </si>
  <si>
    <t>Routes</t>
  </si>
  <si>
    <t>0.00</t>
  </si>
  <si>
    <t>+0.25</t>
  </si>
  <si>
    <t>+0.50</t>
  </si>
  <si>
    <t>+0.75</t>
  </si>
  <si>
    <t>Hours now is the Full Day Rounded Quarter Hours figure Payroll receives. Each AM, midday, and PM run is rounded to the nearest quarter hour, and those three amounts are added. The increase is the proposed window length minus that figure.</t>
  </si>
  <si>
    <t>The four routes at +0.75 are 61, S 04, S 11, and S 17. They are highlighted on the Routes sheet.</t>
  </si>
  <si>
    <t>Six routes stay at 0.00. Routes 63, 86, S 06, and S 21 still have a clock that moves, and today’s nearest-quarter rounding already pays that longer window. Utility — Blakeslee and Utility — Kuhlman are already on quarter hours.</t>
  </si>
  <si>
    <t>S 22 and S 23 have no driver today. Their clocks are included, and each rises by 0.25. They are not on the current payroll spreadsheet. Route 56 has no contracted clocks and is left out. A dash means that run is not on the contract.</t>
  </si>
  <si>
    <t>Edit the Routes sheet. The totals on this page follow those rows. Print this page for the summary, and print Routes in landscape. It is set to fit the width of one letter page.</t>
  </si>
  <si>
    <t>Route</t>
  </si>
  <si>
    <t>Driver</t>
  </si>
  <si>
    <t>AM in now</t>
  </si>
  <si>
    <t>AM in proposed</t>
  </si>
  <si>
    <t>AM out now</t>
  </si>
  <si>
    <t>AM out proposed</t>
  </si>
  <si>
    <t>Mid in now</t>
  </si>
  <si>
    <t>Mid in proposed</t>
  </si>
  <si>
    <t>Mid out now</t>
  </si>
  <si>
    <t>Mid out proposed</t>
  </si>
  <si>
    <t>PM in now</t>
  </si>
  <si>
    <t>PM in proposed</t>
  </si>
  <si>
    <t>PM out now</t>
  </si>
  <si>
    <t>PM out proposed</t>
  </si>
  <si>
    <t>Hours now</t>
  </si>
  <si>
    <t>50</t>
  </si>
  <si>
    <t>Scott Wright</t>
  </si>
  <si>
    <t>6:25 AM</t>
  </si>
  <si>
    <t>6:15 AM</t>
  </si>
  <si>
    <t>9:20 AM</t>
  </si>
  <si>
    <t>9:30 AM</t>
  </si>
  <si>
    <t>11:30 AM</t>
  </si>
  <si>
    <t>12:50 PM</t>
  </si>
  <si>
    <t>1:00 PM</t>
  </si>
  <si>
    <t>2:00 PM</t>
  </si>
  <si>
    <t>5:00 PM</t>
  </si>
  <si>
    <t>51</t>
  </si>
  <si>
    <t>Lisa DeGraaff</t>
  </si>
  <si>
    <t>6:35 AM</t>
  </si>
  <si>
    <t>6:30 AM</t>
  </si>
  <si>
    <t>—</t>
  </si>
  <si>
    <t>5:20 PM</t>
  </si>
  <si>
    <t>5:30 PM</t>
  </si>
  <si>
    <t>52</t>
  </si>
  <si>
    <t>Eduardo Garcia</t>
  </si>
  <si>
    <t>7:00 AM</t>
  </si>
  <si>
    <t>9:15 AM</t>
  </si>
  <si>
    <t>2:05 PM</t>
  </si>
  <si>
    <t>4:50 PM</t>
  </si>
  <si>
    <t>53</t>
  </si>
  <si>
    <t>Juan Banuelos</t>
  </si>
  <si>
    <t>6:45 AM</t>
  </si>
  <si>
    <t>8:35 AM</t>
  </si>
  <si>
    <t>8:45 AM</t>
  </si>
  <si>
    <t>1:50 PM</t>
  </si>
  <si>
    <t>1:45 PM</t>
  </si>
  <si>
    <t>5:15 PM</t>
  </si>
  <si>
    <t>54</t>
  </si>
  <si>
    <t>Cody Shurtz</t>
  </si>
  <si>
    <t>4:45 PM</t>
  </si>
  <si>
    <t>55</t>
  </si>
  <si>
    <t>Athena Panagos</t>
  </si>
  <si>
    <t>6:40 AM</t>
  </si>
  <si>
    <t>4:40 PM</t>
  </si>
  <si>
    <t>57</t>
  </si>
  <si>
    <t>Brian Boatman</t>
  </si>
  <si>
    <t>58</t>
  </si>
  <si>
    <t>Heather McDermott</t>
  </si>
  <si>
    <t>6:50 AM</t>
  </si>
  <si>
    <t>9:35 AM</t>
  </si>
  <si>
    <t>9:45 AM</t>
  </si>
  <si>
    <t>4:25 PM</t>
  </si>
  <si>
    <t>4:30 PM</t>
  </si>
  <si>
    <t>59</t>
  </si>
  <si>
    <t>Charanjit Hundal</t>
  </si>
  <si>
    <t>60</t>
  </si>
  <si>
    <t>Danna Daily</t>
  </si>
  <si>
    <t>61</t>
  </si>
  <si>
    <t>Dennis Jensen</t>
  </si>
  <si>
    <t>6:55 AM</t>
  </si>
  <si>
    <t>10:10 AM</t>
  </si>
  <si>
    <t>10:00 AM</t>
  </si>
  <si>
    <t>12:10 PM</t>
  </si>
  <si>
    <t>12:15 PM</t>
  </si>
  <si>
    <t>62</t>
  </si>
  <si>
    <t>Moana Smithson</t>
  </si>
  <si>
    <t>63</t>
  </si>
  <si>
    <t>Darryl Rose</t>
  </si>
  <si>
    <t>64</t>
  </si>
  <si>
    <t>Mukhtiar Singh</t>
  </si>
  <si>
    <t>11:50 AM</t>
  </si>
  <si>
    <t>11:45 AM</t>
  </si>
  <si>
    <t>12:30 PM</t>
  </si>
  <si>
    <t>65</t>
  </si>
  <si>
    <t>Becky Vanderyacht</t>
  </si>
  <si>
    <t>5:10 PM</t>
  </si>
  <si>
    <t>66</t>
  </si>
  <si>
    <t>Rae Anne Thon</t>
  </si>
  <si>
    <t>67</t>
  </si>
  <si>
    <t>Stacie Frost</t>
  </si>
  <si>
    <t>4:10 PM</t>
  </si>
  <si>
    <t>4:15 PM</t>
  </si>
  <si>
    <t>68</t>
  </si>
  <si>
    <t>Angela Occhipinti</t>
  </si>
  <si>
    <t>69</t>
  </si>
  <si>
    <t>Zach Smalley</t>
  </si>
  <si>
    <t>70</t>
  </si>
  <si>
    <t>David Smith</t>
  </si>
  <si>
    <t>7:05 AM</t>
  </si>
  <si>
    <t>4:55 PM</t>
  </si>
  <si>
    <t>71</t>
  </si>
  <si>
    <t>Toni Miller</t>
  </si>
  <si>
    <t>9:25 AM</t>
  </si>
  <si>
    <t>4:20 PM</t>
  </si>
  <si>
    <t>72</t>
  </si>
  <si>
    <t>Karen James</t>
  </si>
  <si>
    <t>4:35 PM</t>
  </si>
  <si>
    <t>73</t>
  </si>
  <si>
    <t>Scott Tulk</t>
  </si>
  <si>
    <t>74</t>
  </si>
  <si>
    <t>Graham Thomas</t>
  </si>
  <si>
    <t>75</t>
  </si>
  <si>
    <t>Ahmed Kaker</t>
  </si>
  <si>
    <t>76</t>
  </si>
  <si>
    <t>Billa Inderjit</t>
  </si>
  <si>
    <t>2:10 PM</t>
  </si>
  <si>
    <t>77</t>
  </si>
  <si>
    <t>Rickard Persson</t>
  </si>
  <si>
    <t>78</t>
  </si>
  <si>
    <t>Josh Triplett</t>
  </si>
  <si>
    <t>79</t>
  </si>
  <si>
    <t>Aaron Hakeman</t>
  </si>
  <si>
    <t>4:05 PM</t>
  </si>
  <si>
    <t>80</t>
  </si>
  <si>
    <t>Tonia Mark</t>
  </si>
  <si>
    <t>8:30 AM</t>
  </si>
  <si>
    <t>81</t>
  </si>
  <si>
    <t>Jaycob Powell</t>
  </si>
  <si>
    <t>7:35 AM</t>
  </si>
  <si>
    <t>7:30 AM</t>
  </si>
  <si>
    <t>1:30 PM</t>
  </si>
  <si>
    <t>6:40 PM</t>
  </si>
  <si>
    <t>6:45 PM</t>
  </si>
  <si>
    <t>82</t>
  </si>
  <si>
    <t>Matt Peterson</t>
  </si>
  <si>
    <t>83</t>
  </si>
  <si>
    <t>Johanna de Vries</t>
  </si>
  <si>
    <t>10:40 AM</t>
  </si>
  <si>
    <t>10:30 AM</t>
  </si>
  <si>
    <t>1:20 PM</t>
  </si>
  <si>
    <t>84</t>
  </si>
  <si>
    <t>Lauren Adcox</t>
  </si>
  <si>
    <t>85</t>
  </si>
  <si>
    <t>Drew Graham</t>
  </si>
  <si>
    <t>86</t>
  </si>
  <si>
    <t>Marjorie Ortega</t>
  </si>
  <si>
    <t>87</t>
  </si>
  <si>
    <t>Mark Wallace</t>
  </si>
  <si>
    <t>S 01</t>
  </si>
  <si>
    <t>Shemeca Woodfrinch</t>
  </si>
  <si>
    <t>9:00 AM</t>
  </si>
  <si>
    <t>S 02</t>
  </si>
  <si>
    <t>Loriena Bobb</t>
  </si>
  <si>
    <t>11:05 AM</t>
  </si>
  <si>
    <t>11:00 AM</t>
  </si>
  <si>
    <t>12:35 PM</t>
  </si>
  <si>
    <t>12:45 PM</t>
  </si>
  <si>
    <t>3:40 PM</t>
  </si>
  <si>
    <t>3:45 PM</t>
  </si>
  <si>
    <t>S 03</t>
  </si>
  <si>
    <t>Masoud Meskinimood</t>
  </si>
  <si>
    <t>7:10 AM</t>
  </si>
  <si>
    <t>10:05 AM</t>
  </si>
  <si>
    <t>2:15 PM</t>
  </si>
  <si>
    <t>S 04</t>
  </si>
  <si>
    <t>Cydney Tanner</t>
  </si>
  <si>
    <t>11:20 AM</t>
  </si>
  <si>
    <t>11:15 AM</t>
  </si>
  <si>
    <t>12:55 PM</t>
  </si>
  <si>
    <t>S 05</t>
  </si>
  <si>
    <t>Natalia Rodriguez-Aranzasti</t>
  </si>
  <si>
    <t>8:40 AM</t>
  </si>
  <si>
    <t>S 06</t>
  </si>
  <si>
    <t>Jeremy Larsen</t>
  </si>
  <si>
    <t>S 07</t>
  </si>
  <si>
    <t>David Balle</t>
  </si>
  <si>
    <t>6:20 AM</t>
  </si>
  <si>
    <t>S 08</t>
  </si>
  <si>
    <t>Darcie Poth</t>
  </si>
  <si>
    <t>S 09</t>
  </si>
  <si>
    <t>Connie Garcia</t>
  </si>
  <si>
    <t>11:35 AM</t>
  </si>
  <si>
    <t>S 10</t>
  </si>
  <si>
    <t>Rhys Smoker</t>
  </si>
  <si>
    <t>S 11</t>
  </si>
  <si>
    <t>Sheila McAuley</t>
  </si>
  <si>
    <t>12:20 PM</t>
  </si>
  <si>
    <t>1:55 PM</t>
  </si>
  <si>
    <t>S 12</t>
  </si>
  <si>
    <t>Nick Levin</t>
  </si>
  <si>
    <t>S 13</t>
  </si>
  <si>
    <t>Tammy Trapp</t>
  </si>
  <si>
    <t>2:20 PM</t>
  </si>
  <si>
    <t>S 14</t>
  </si>
  <si>
    <t>Terri Cruikshank</t>
  </si>
  <si>
    <t>10:35 AM</t>
  </si>
  <si>
    <t>S 15</t>
  </si>
  <si>
    <t>Ricardo Broberg</t>
  </si>
  <si>
    <t>S 16</t>
  </si>
  <si>
    <t>Aspi Variava</t>
  </si>
  <si>
    <t>S 17</t>
  </si>
  <si>
    <t>Bonnie Glispy</t>
  </si>
  <si>
    <t>9:55 AM</t>
  </si>
  <si>
    <t>12:00 PM</t>
  </si>
  <si>
    <t>S 18</t>
  </si>
  <si>
    <t>Iqbal Kaur</t>
  </si>
  <si>
    <t>S 19</t>
  </si>
  <si>
    <t>Samiullah Azizi</t>
  </si>
  <si>
    <t>1:35 PM</t>
  </si>
  <si>
    <t>S 20</t>
  </si>
  <si>
    <t>Charlie Lane</t>
  </si>
  <si>
    <t>S 21</t>
  </si>
  <si>
    <t>Paul Krenz</t>
  </si>
  <si>
    <t>1:15 PM</t>
  </si>
  <si>
    <t>4:00 PM</t>
  </si>
  <si>
    <t>S 22</t>
  </si>
  <si>
    <t>No driver</t>
  </si>
  <si>
    <t>S 23</t>
  </si>
  <si>
    <t>Utility — Blakeslee</t>
  </si>
  <si>
    <t>Bob Blakeslee</t>
  </si>
  <si>
    <t>3:00 PM</t>
  </si>
  <si>
    <t>Utility — Kuhlman</t>
  </si>
  <si>
    <t>James Kuhlman</t>
  </si>
  <si>
    <t>All routes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</si>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</sst>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color theme="1"/>
      <family val="2"/>
      <scheme val="minor"/>
      <sz val="11"/>
      <name val="Calibri"/>
    </font>
    <font>
      <b/>
      <color rgb="FF1F4E79"/>
      <sz val="20"/>
      <name val="Calibri"/>
    </font>
    <font>
      <color rgb="FF44546A"/>
      <sz val="12"/>
      <name val="Calibri"/>
    </font>
    <font>
      <sz val="12"/>
      <name val="Calibri"/>
    </font>
    <font>
      <b/>
      <sz val="12"/>
      <name val="Calibri"/>
    </font>
    <font>
      <b/>
      <color rgb="FF1F4E79"/>
      <sz val="16"/>
      <name val="Calibri"/>
    </font>
    <font>
      <b/>
      <color rgb="FFFFFFFF"/>
      <sz val="12"/>
      <name val="Calibri"/>
    </font>
    <font>
      <i/>
      <color rgb="FF44546A"/>
      <sz val="11"/>
      <name val="Calibri"/>
    </font>
    <font>
      <b/>
      <color rgb="FFFFFFFF"/>
      <sz val="9"/>
      <name val="Calibri"/>
    </font>
    <font>
      <sz val="10"/>
      <name val="Calibri"/>
    </font>
    <font>
      <b/>
      <sz val="10"/>
      <name val="Calibri"/>
    </font>
  </fonts>
  <fills count="6">
    <fill>
      <patternFill patternType="none"/>
    </fill>
    <fill>
      <patternFill patternType="gray125"/>
    </fill>
    <fill>
      <patternFill patternType="solid">
        <fgColor rgb="FF1F4E79"/>
      </patternFill>
    </fill>
    <fill>
      <patternFill patternType="solid">
        <fgColor rgb="FFF4F7FB"/>
      </patternFill>
    </fill>
    <fill>
      <patternFill patternType="solid">
        <fgColor rgb="FFFFF2CC"/>
      </patternFill>
    </fill>
    <fill>
      <patternFill patternType="solid">
        <fgColor rgb="FFD6E3F0"/>
      </patternFill>
    </fill>
  </fills>
  <borders count="2">
    <border>
      <left/>
      <right/>
      <top/>
      <bottom/>
      <diagonal/>
    </border>
    <border>
      <left style="thin">
        <color rgb="FFB0B8C4"/>
      </left>
      <right style="thin">
        <color rgb="FFB0B8C4"/>
      </right>
      <top style="thin">
        <color rgb="FFB0B8C4"/>
      </top>
      <bottom style="thin">
        <color rgb="FFB0B8C4"/>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164" fontId="5" fillId="0" borderId="0" xfId="0" applyNumberFormat="1" applyFont="1" applyAlignment="1">
      <alignment horizontal="right"/>
    </xf>
    <xf numFmtId="0" fontId="3" fillId="0" borderId="0" xfId="0" applyFont="1"/>
    <xf numFmtId="2" fontId="3" fillId="0" borderId="0" xfId="0" applyNumberFormat="1" applyFont="1" applyAlignment="1">
      <alignment horizontal="right"/>
    </xf>
    <xf numFmtId="0" fontId="3" fillId="0" borderId="0" xfId="0" applyFont="1" applyAlignment="1">
      <alignment horizontal="right"/>
    </xf>
    <xf numFmtId="0" fontId="6" fillId="2" borderId="1" xfId="0" applyFont="1" applyFill="1" applyBorder="1" applyAlignment="1">
      <alignment horizontal="left"/>
    </xf>
    <xf numFmtId="0" fontId="6" fillId="2" borderId="1" xfId="0" applyFont="1" applyFill="1" applyBorder="1" applyAlignment="1">
      <alignment horizontal="right"/>
    </xf>
    <xf numFmtId="0" fontId="3" fillId="3" borderId="1" xfId="0" applyFont="1" applyFill="1" applyBorder="1"/>
    <xf numFmtId="0" fontId="3" fillId="3" borderId="1" xfId="0" applyFont="1" applyFill="1" applyBorder="1" applyAlignment="1">
      <alignment horizontal="right"/>
    </xf>
    <xf numFmtId="0" fontId="4" fillId="4" borderId="1" xfId="0" applyFont="1" applyFill="1" applyBorder="1" applyAlignment="1">
      <alignment horizontal="right"/>
    </xf>
    <xf numFmtId="0" fontId="3" fillId="0" borderId="0" xfId="0" applyFont="1" applyAlignment="1">
      <alignment wrapText="1"/>
    </xf>
    <xf numFmtId="0" fontId="7" fillId="0" borderId="0" xfId="0" applyFont="1" applyAlignment="1">
      <alignment wrapText="1"/>
    </xf>
    <xf numFmtId="0" fontId="8" fillId="2" borderId="1" xfId="0" applyFont="1" applyFill="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center" vertical="center"/>
    </xf>
    <xf numFmtId="2" fontId="9" fillId="0" borderId="1" xfId="0" applyNumberFormat="1" applyFont="1" applyBorder="1" applyAlignment="1">
      <alignment horizontal="right" vertical="center"/>
    </xf>
    <xf numFmtId="164" fontId="9" fillId="0" borderId="1" xfId="0" applyNumberFormat="1" applyFont="1" applyBorder="1" applyAlignment="1">
      <alignment horizontal="right" vertical="center"/>
    </xf>
    <xf numFmtId="0" fontId="10" fillId="0" borderId="1" xfId="0" applyFont="1" applyBorder="1" applyAlignment="1">
      <alignment horizontal="left" vertical="center"/>
    </xf>
    <xf numFmtId="0" fontId="10" fillId="5" borderId="1" xfId="0" applyFont="1" applyFill="1" applyBorder="1" applyAlignment="1">
      <alignment horizontal="left" vertical="center"/>
    </xf>
    <xf numFmtId="0" fontId="10" fillId="5" borderId="1" xfId="0" applyFont="1" applyFill="1" applyBorder="1" applyAlignment="1">
      <alignment horizontal="right" vertical="center"/>
    </xf>
    <xf numFmtId="2" fontId="10" fillId="5" borderId="1" xfId="0" applyNumberFormat="1" applyFont="1" applyFill="1" applyBorder="1" applyAlignment="1">
      <alignment horizontal="right" vertical="center"/>
    </xf>
    <xf numFmtId="164" fontId="10" fillId="5" borderId="1" xfId="0" applyNumberFormat="1" applyFont="1" applyFill="1" applyBorder="1" applyAlignment="1">
      <alignment horizontal="right" vertical="center"/>
    </xf>
  </cellXfs>
  <cellStyles count="1">
    <cellStyle name="Normal" xfId="0" builtinId="0"/>
  </cellStyles>
  <dxfs count="1">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4"/>
  <sheetViews>
    <sheetView workbookViewId="0" zoomScale="100" zoomScaleNormal="100">
      <pane ySplit="1" topLeftCell="A2" activePane="bottomLeft" state="frozen"/>
      <selection pane="bottomLeft"/>
    </sheetView>
  </sheetViews>
  <sheetFormatPr defaultRowHeight="18" outlineLevelRow="0" outlineLevelCol="0" x14ac:dyDescent="55" customHeight="1"/>
  <cols>
    <col min="1" max="1" width="14" customWidth="1"/>
    <col min="2" max="2" width="28" customWidth="1"/>
    <col min="3" max="3" width="14" customWidth="1"/>
    <col min="4" max="4" width="16" customWidth="1"/>
    <col min="5" max="5" width="14" customWidth="1"/>
    <col min="6" max="6" width="16" customWidth="1"/>
    <col min="7" max="7" width="14" customWidth="1"/>
    <col min="8" max="8" width="16" customWidth="1"/>
    <col min="9" max="9" width="14" customWidth="1"/>
    <col min="10" max="10" width="16" customWidth="1"/>
    <col min="11" max="11" width="14" customWidth="1"/>
    <col min="12" max="12" width="16" customWidth="1"/>
    <col min="13" max="13" width="14" customWidth="1"/>
    <col min="14" max="14" width="16" customWidth="1"/>
    <col min="15" max="15" width="12" customWidth="1"/>
    <col min="16" max="16" width="16" customWidth="1"/>
    <col min="17" max="17" width="12" customWidth="1"/>
  </cols>
  <sheetData>
    <row r="1" ht="32" customHeight="1" spans="1:17" x14ac:dyDescent="0.25">
      <c r="A1" s="16" t="s">
        <v>18</v>
      </c>
      <c r="B1" s="16" t="s">
        <v>19</v>
      </c>
      <c r="C1" s="16" t="s">
        <v>20</v>
      </c>
      <c r="D1" s="16" t="s">
        <v>21</v>
      </c>
      <c r="E1" s="16" t="s">
        <v>22</v>
      </c>
      <c r="F1" s="16" t="s">
        <v>23</v>
      </c>
      <c r="G1" s="16" t="s">
        <v>24</v>
      </c>
      <c r="H1" s="16" t="s">
        <v>25</v>
      </c>
      <c r="I1" s="16" t="s">
        <v>26</v>
      </c>
      <c r="J1" s="16" t="s">
        <v>27</v>
      </c>
      <c r="K1" s="16" t="s">
        <v>28</v>
      </c>
      <c r="L1" s="16" t="s">
        <v>29</v>
      </c>
      <c r="M1" s="16" t="s">
        <v>30</v>
      </c>
      <c r="N1" s="16" t="s">
        <v>31</v>
      </c>
      <c r="O1" s="16" t="s">
        <v>32</v>
      </c>
      <c r="P1" s="16" t="s">
        <v>5</v>
      </c>
      <c r="Q1" s="16" t="s">
        <v>7</v>
      </c>
    </row>
    <row r="2" ht="18" customHeight="1" spans="1:17" x14ac:dyDescent="0.25">
      <c r="A2" s="17" t="s">
        <v>33</v>
      </c>
      <c r="B2" s="17" t="s">
        <v>34</v>
      </c>
      <c r="C2" s="18" t="s">
        <v>35</v>
      </c>
      <c r="D2" s="18" t="s">
        <v>36</v>
      </c>
      <c r="E2" s="18" t="s">
        <v>37</v>
      </c>
      <c r="F2" s="18" t="s">
        <v>38</v>
      </c>
      <c r="G2" s="18" t="s">
        <v>39</v>
      </c>
      <c r="H2" s="18" t="s">
        <v>39</v>
      </c>
      <c r="I2" s="18" t="s">
        <v>40</v>
      </c>
      <c r="J2" s="18" t="s">
        <v>41</v>
      </c>
      <c r="K2" s="18" t="s">
        <v>42</v>
      </c>
      <c r="L2" s="18" t="s">
        <v>42</v>
      </c>
      <c r="M2" s="18" t="s">
        <v>43</v>
      </c>
      <c r="N2" s="18" t="s">
        <v>43</v>
      </c>
      <c r="O2" s="19">
        <v>7.25</v>
      </c>
      <c r="P2" s="19">
        <v>7.75</v>
      </c>
      <c r="Q2" s="20">
        <f>P2-O2</f>
      </c>
    </row>
    <row r="3" ht="18" customHeight="1" spans="1:17" x14ac:dyDescent="0.25">
      <c r="A3" s="17" t="s">
        <v>44</v>
      </c>
      <c r="B3" s="17" t="s">
        <v>45</v>
      </c>
      <c r="C3" s="18" t="s">
        <v>46</v>
      </c>
      <c r="D3" s="18" t="s">
        <v>47</v>
      </c>
      <c r="E3" s="18" t="s">
        <v>37</v>
      </c>
      <c r="F3" s="18" t="s">
        <v>38</v>
      </c>
      <c r="G3" s="18" t="s">
        <v>48</v>
      </c>
      <c r="H3" s="18" t="s">
        <v>48</v>
      </c>
      <c r="I3" s="18" t="s">
        <v>48</v>
      </c>
      <c r="J3" s="18" t="s">
        <v>48</v>
      </c>
      <c r="K3" s="18" t="s">
        <v>42</v>
      </c>
      <c r="L3" s="18" t="s">
        <v>42</v>
      </c>
      <c r="M3" s="18" t="s">
        <v>49</v>
      </c>
      <c r="N3" s="18" t="s">
        <v>50</v>
      </c>
      <c r="O3" s="19">
        <v>6</v>
      </c>
      <c r="P3" s="19">
        <v>6.5</v>
      </c>
      <c r="Q3" s="20">
        <f>P3-O3</f>
      </c>
    </row>
    <row r="4" ht="18" customHeight="1" spans="1:17" x14ac:dyDescent="0.25">
      <c r="A4" s="17" t="s">
        <v>51</v>
      </c>
      <c r="B4" s="17" t="s">
        <v>52</v>
      </c>
      <c r="C4" s="18" t="s">
        <v>53</v>
      </c>
      <c r="D4" s="18" t="s">
        <v>53</v>
      </c>
      <c r="E4" s="18" t="s">
        <v>54</v>
      </c>
      <c r="F4" s="18" t="s">
        <v>54</v>
      </c>
      <c r="G4" s="18" t="s">
        <v>48</v>
      </c>
      <c r="H4" s="18" t="s">
        <v>48</v>
      </c>
      <c r="I4" s="18" t="s">
        <v>48</v>
      </c>
      <c r="J4" s="18" t="s">
        <v>48</v>
      </c>
      <c r="K4" s="18" t="s">
        <v>55</v>
      </c>
      <c r="L4" s="18" t="s">
        <v>42</v>
      </c>
      <c r="M4" s="18" t="s">
        <v>56</v>
      </c>
      <c r="N4" s="18" t="s">
        <v>43</v>
      </c>
      <c r="O4" s="19">
        <v>5</v>
      </c>
      <c r="P4" s="19">
        <v>5.25</v>
      </c>
      <c r="Q4" s="20">
        <f>P4-O4</f>
      </c>
    </row>
    <row r="5" ht="18" customHeight="1" spans="1:17" x14ac:dyDescent="0.25">
      <c r="A5" s="17" t="s">
        <v>57</v>
      </c>
      <c r="B5" s="17" t="s">
        <v>58</v>
      </c>
      <c r="C5" s="18" t="s">
        <v>59</v>
      </c>
      <c r="D5" s="18" t="s">
        <v>59</v>
      </c>
      <c r="E5" s="18" t="s">
        <v>60</v>
      </c>
      <c r="F5" s="18" t="s">
        <v>61</v>
      </c>
      <c r="G5" s="18" t="s">
        <v>48</v>
      </c>
      <c r="H5" s="18" t="s">
        <v>48</v>
      </c>
      <c r="I5" s="18" t="s">
        <v>48</v>
      </c>
      <c r="J5" s="18" t="s">
        <v>48</v>
      </c>
      <c r="K5" s="18" t="s">
        <v>62</v>
      </c>
      <c r="L5" s="18" t="s">
        <v>63</v>
      </c>
      <c r="M5" s="18" t="s">
        <v>64</v>
      </c>
      <c r="N5" s="18" t="s">
        <v>64</v>
      </c>
      <c r="O5" s="19">
        <v>5.25</v>
      </c>
      <c r="P5" s="19">
        <v>5.5</v>
      </c>
      <c r="Q5" s="20">
        <f>P5-O5</f>
      </c>
    </row>
    <row r="6" ht="18" customHeight="1" spans="1:17" x14ac:dyDescent="0.25">
      <c r="A6" s="17" t="s">
        <v>65</v>
      </c>
      <c r="B6" s="17" t="s">
        <v>66</v>
      </c>
      <c r="C6" s="18" t="s">
        <v>59</v>
      </c>
      <c r="D6" s="18" t="s">
        <v>59</v>
      </c>
      <c r="E6" s="18" t="s">
        <v>60</v>
      </c>
      <c r="F6" s="18" t="s">
        <v>61</v>
      </c>
      <c r="G6" s="18" t="s">
        <v>48</v>
      </c>
      <c r="H6" s="18" t="s">
        <v>48</v>
      </c>
      <c r="I6" s="18" t="s">
        <v>48</v>
      </c>
      <c r="J6" s="18" t="s">
        <v>48</v>
      </c>
      <c r="K6" s="18" t="s">
        <v>55</v>
      </c>
      <c r="L6" s="18" t="s">
        <v>42</v>
      </c>
      <c r="M6" s="18" t="s">
        <v>67</v>
      </c>
      <c r="N6" s="18" t="s">
        <v>67</v>
      </c>
      <c r="O6" s="19">
        <v>4.5</v>
      </c>
      <c r="P6" s="19">
        <v>4.75</v>
      </c>
      <c r="Q6" s="20">
        <f>P6-O6</f>
      </c>
    </row>
    <row r="7" ht="18" customHeight="1" spans="1:17" x14ac:dyDescent="0.25">
      <c r="A7" s="17" t="s">
        <v>68</v>
      </c>
      <c r="B7" s="17" t="s">
        <v>69</v>
      </c>
      <c r="C7" s="18" t="s">
        <v>70</v>
      </c>
      <c r="D7" s="18" t="s">
        <v>47</v>
      </c>
      <c r="E7" s="18" t="s">
        <v>61</v>
      </c>
      <c r="F7" s="18" t="s">
        <v>61</v>
      </c>
      <c r="G7" s="18" t="s">
        <v>48</v>
      </c>
      <c r="H7" s="18" t="s">
        <v>48</v>
      </c>
      <c r="I7" s="18" t="s">
        <v>48</v>
      </c>
      <c r="J7" s="18" t="s">
        <v>48</v>
      </c>
      <c r="K7" s="18" t="s">
        <v>42</v>
      </c>
      <c r="L7" s="18" t="s">
        <v>42</v>
      </c>
      <c r="M7" s="18" t="s">
        <v>71</v>
      </c>
      <c r="N7" s="18" t="s">
        <v>67</v>
      </c>
      <c r="O7" s="19">
        <v>4.75</v>
      </c>
      <c r="P7" s="19">
        <v>5</v>
      </c>
      <c r="Q7" s="20">
        <f>P7-O7</f>
      </c>
    </row>
    <row r="8" ht="18" customHeight="1" spans="1:17" x14ac:dyDescent="0.25">
      <c r="A8" s="17" t="s">
        <v>72</v>
      </c>
      <c r="B8" s="17" t="s">
        <v>73</v>
      </c>
      <c r="C8" s="18" t="s">
        <v>59</v>
      </c>
      <c r="D8" s="18" t="s">
        <v>59</v>
      </c>
      <c r="E8" s="18" t="s">
        <v>37</v>
      </c>
      <c r="F8" s="18" t="s">
        <v>38</v>
      </c>
      <c r="G8" s="18" t="s">
        <v>48</v>
      </c>
      <c r="H8" s="18" t="s">
        <v>48</v>
      </c>
      <c r="I8" s="18" t="s">
        <v>48</v>
      </c>
      <c r="J8" s="18" t="s">
        <v>48</v>
      </c>
      <c r="K8" s="18" t="s">
        <v>42</v>
      </c>
      <c r="L8" s="18" t="s">
        <v>42</v>
      </c>
      <c r="M8" s="18" t="s">
        <v>56</v>
      </c>
      <c r="N8" s="18" t="s">
        <v>43</v>
      </c>
      <c r="O8" s="19">
        <v>5.25</v>
      </c>
      <c r="P8" s="19">
        <v>5.75</v>
      </c>
      <c r="Q8" s="20">
        <f>P8-O8</f>
      </c>
    </row>
    <row r="9" ht="18" customHeight="1" spans="1:17" x14ac:dyDescent="0.25">
      <c r="A9" s="17" t="s">
        <v>74</v>
      </c>
      <c r="B9" s="17" t="s">
        <v>75</v>
      </c>
      <c r="C9" s="18" t="s">
        <v>76</v>
      </c>
      <c r="D9" s="18" t="s">
        <v>59</v>
      </c>
      <c r="E9" s="18" t="s">
        <v>77</v>
      </c>
      <c r="F9" s="18" t="s">
        <v>78</v>
      </c>
      <c r="G9" s="18" t="s">
        <v>48</v>
      </c>
      <c r="H9" s="18" t="s">
        <v>48</v>
      </c>
      <c r="I9" s="18" t="s">
        <v>48</v>
      </c>
      <c r="J9" s="18" t="s">
        <v>48</v>
      </c>
      <c r="K9" s="18" t="s">
        <v>55</v>
      </c>
      <c r="L9" s="18" t="s">
        <v>42</v>
      </c>
      <c r="M9" s="18" t="s">
        <v>79</v>
      </c>
      <c r="N9" s="18" t="s">
        <v>80</v>
      </c>
      <c r="O9" s="19">
        <v>5</v>
      </c>
      <c r="P9" s="19">
        <v>5.5</v>
      </c>
      <c r="Q9" s="20">
        <f>P9-O9</f>
      </c>
    </row>
    <row r="10" ht="18" customHeight="1" spans="1:17" x14ac:dyDescent="0.25">
      <c r="A10" s="17" t="s">
        <v>81</v>
      </c>
      <c r="B10" s="17" t="s">
        <v>82</v>
      </c>
      <c r="C10" s="18" t="s">
        <v>46</v>
      </c>
      <c r="D10" s="18" t="s">
        <v>47</v>
      </c>
      <c r="E10" s="18" t="s">
        <v>37</v>
      </c>
      <c r="F10" s="18" t="s">
        <v>38</v>
      </c>
      <c r="G10" s="18" t="s">
        <v>48</v>
      </c>
      <c r="H10" s="18" t="s">
        <v>48</v>
      </c>
      <c r="I10" s="18" t="s">
        <v>48</v>
      </c>
      <c r="J10" s="18" t="s">
        <v>48</v>
      </c>
      <c r="K10" s="18" t="s">
        <v>55</v>
      </c>
      <c r="L10" s="18" t="s">
        <v>42</v>
      </c>
      <c r="M10" s="18" t="s">
        <v>67</v>
      </c>
      <c r="N10" s="18" t="s">
        <v>67</v>
      </c>
      <c r="O10" s="19">
        <v>5.5</v>
      </c>
      <c r="P10" s="19">
        <v>5.75</v>
      </c>
      <c r="Q10" s="20">
        <f>P10-O10</f>
      </c>
    </row>
    <row r="11" ht="18" customHeight="1" spans="1:17" x14ac:dyDescent="0.25">
      <c r="A11" s="17" t="s">
        <v>83</v>
      </c>
      <c r="B11" s="17" t="s">
        <v>84</v>
      </c>
      <c r="C11" s="18" t="s">
        <v>76</v>
      </c>
      <c r="D11" s="18" t="s">
        <v>59</v>
      </c>
      <c r="E11" s="18" t="s">
        <v>37</v>
      </c>
      <c r="F11" s="18" t="s">
        <v>38</v>
      </c>
      <c r="G11" s="18" t="s">
        <v>48</v>
      </c>
      <c r="H11" s="18" t="s">
        <v>48</v>
      </c>
      <c r="I11" s="18" t="s">
        <v>48</v>
      </c>
      <c r="J11" s="18" t="s">
        <v>48</v>
      </c>
      <c r="K11" s="18" t="s">
        <v>55</v>
      </c>
      <c r="L11" s="18" t="s">
        <v>42</v>
      </c>
      <c r="M11" s="18" t="s">
        <v>67</v>
      </c>
      <c r="N11" s="18" t="s">
        <v>67</v>
      </c>
      <c r="O11" s="19">
        <v>5.25</v>
      </c>
      <c r="P11" s="19">
        <v>5.5</v>
      </c>
      <c r="Q11" s="20">
        <f>P11-O11</f>
      </c>
    </row>
    <row r="12" ht="18" customHeight="1" spans="1:17" x14ac:dyDescent="0.25">
      <c r="A12" s="21" t="s">
        <v>85</v>
      </c>
      <c r="B12" s="17" t="s">
        <v>86</v>
      </c>
      <c r="C12" s="18" t="s">
        <v>87</v>
      </c>
      <c r="D12" s="18" t="s">
        <v>59</v>
      </c>
      <c r="E12" s="18" t="s">
        <v>54</v>
      </c>
      <c r="F12" s="18" t="s">
        <v>54</v>
      </c>
      <c r="G12" s="18" t="s">
        <v>88</v>
      </c>
      <c r="H12" s="18" t="s">
        <v>89</v>
      </c>
      <c r="I12" s="18" t="s">
        <v>90</v>
      </c>
      <c r="J12" s="18" t="s">
        <v>91</v>
      </c>
      <c r="K12" s="18" t="s">
        <v>42</v>
      </c>
      <c r="L12" s="18" t="s">
        <v>42</v>
      </c>
      <c r="M12" s="18" t="s">
        <v>56</v>
      </c>
      <c r="N12" s="18" t="s">
        <v>43</v>
      </c>
      <c r="O12" s="19">
        <v>7</v>
      </c>
      <c r="P12" s="19">
        <v>7.75</v>
      </c>
      <c r="Q12" s="20">
        <f>P12-O12</f>
      </c>
    </row>
    <row r="13" ht="18" customHeight="1" spans="1:17" x14ac:dyDescent="0.25">
      <c r="A13" s="17" t="s">
        <v>92</v>
      </c>
      <c r="B13" s="17" t="s">
        <v>93</v>
      </c>
      <c r="C13" s="18" t="s">
        <v>46</v>
      </c>
      <c r="D13" s="18" t="s">
        <v>47</v>
      </c>
      <c r="E13" s="18" t="s">
        <v>37</v>
      </c>
      <c r="F13" s="18" t="s">
        <v>38</v>
      </c>
      <c r="G13" s="18" t="s">
        <v>48</v>
      </c>
      <c r="H13" s="18" t="s">
        <v>48</v>
      </c>
      <c r="I13" s="18" t="s">
        <v>48</v>
      </c>
      <c r="J13" s="18" t="s">
        <v>48</v>
      </c>
      <c r="K13" s="18" t="s">
        <v>55</v>
      </c>
      <c r="L13" s="18" t="s">
        <v>42</v>
      </c>
      <c r="M13" s="18" t="s">
        <v>67</v>
      </c>
      <c r="N13" s="18" t="s">
        <v>67</v>
      </c>
      <c r="O13" s="19">
        <v>5.5</v>
      </c>
      <c r="P13" s="19">
        <v>5.75</v>
      </c>
      <c r="Q13" s="20">
        <f>P13-O13</f>
      </c>
    </row>
    <row r="14" ht="18" customHeight="1" spans="1:17" x14ac:dyDescent="0.25">
      <c r="A14" s="17" t="s">
        <v>94</v>
      </c>
      <c r="B14" s="17" t="s">
        <v>95</v>
      </c>
      <c r="C14" s="18" t="s">
        <v>53</v>
      </c>
      <c r="D14" s="18" t="s">
        <v>53</v>
      </c>
      <c r="E14" s="18" t="s">
        <v>54</v>
      </c>
      <c r="F14" s="18" t="s">
        <v>54</v>
      </c>
      <c r="G14" s="18" t="s">
        <v>48</v>
      </c>
      <c r="H14" s="18" t="s">
        <v>48</v>
      </c>
      <c r="I14" s="18" t="s">
        <v>48</v>
      </c>
      <c r="J14" s="18" t="s">
        <v>48</v>
      </c>
      <c r="K14" s="18" t="s">
        <v>42</v>
      </c>
      <c r="L14" s="18" t="s">
        <v>42</v>
      </c>
      <c r="M14" s="18" t="s">
        <v>67</v>
      </c>
      <c r="N14" s="18" t="s">
        <v>67</v>
      </c>
      <c r="O14" s="19">
        <v>5</v>
      </c>
      <c r="P14" s="19">
        <v>5</v>
      </c>
      <c r="Q14" s="20">
        <f>P14-O14</f>
      </c>
    </row>
    <row r="15" ht="18" customHeight="1" spans="1:17" x14ac:dyDescent="0.25">
      <c r="A15" s="17" t="s">
        <v>96</v>
      </c>
      <c r="B15" s="17" t="s">
        <v>97</v>
      </c>
      <c r="C15" s="18" t="s">
        <v>46</v>
      </c>
      <c r="D15" s="18" t="s">
        <v>47</v>
      </c>
      <c r="E15" s="18" t="s">
        <v>37</v>
      </c>
      <c r="F15" s="18" t="s">
        <v>38</v>
      </c>
      <c r="G15" s="18" t="s">
        <v>98</v>
      </c>
      <c r="H15" s="18" t="s">
        <v>99</v>
      </c>
      <c r="I15" s="18" t="s">
        <v>100</v>
      </c>
      <c r="J15" s="18" t="s">
        <v>100</v>
      </c>
      <c r="K15" s="18" t="s">
        <v>55</v>
      </c>
      <c r="L15" s="18" t="s">
        <v>42</v>
      </c>
      <c r="M15" s="18" t="s">
        <v>67</v>
      </c>
      <c r="N15" s="18" t="s">
        <v>67</v>
      </c>
      <c r="O15" s="19">
        <v>6.25</v>
      </c>
      <c r="P15" s="19">
        <v>6.5</v>
      </c>
      <c r="Q15" s="20">
        <f>P15-O15</f>
      </c>
    </row>
    <row r="16" ht="18" customHeight="1" spans="1:17" x14ac:dyDescent="0.25">
      <c r="A16" s="17" t="s">
        <v>101</v>
      </c>
      <c r="B16" s="17" t="s">
        <v>102</v>
      </c>
      <c r="C16" s="18" t="s">
        <v>46</v>
      </c>
      <c r="D16" s="18" t="s">
        <v>47</v>
      </c>
      <c r="E16" s="18" t="s">
        <v>37</v>
      </c>
      <c r="F16" s="18" t="s">
        <v>38</v>
      </c>
      <c r="G16" s="18" t="s">
        <v>48</v>
      </c>
      <c r="H16" s="18" t="s">
        <v>48</v>
      </c>
      <c r="I16" s="18" t="s">
        <v>48</v>
      </c>
      <c r="J16" s="18" t="s">
        <v>48</v>
      </c>
      <c r="K16" s="18" t="s">
        <v>55</v>
      </c>
      <c r="L16" s="18" t="s">
        <v>42</v>
      </c>
      <c r="M16" s="18" t="s">
        <v>103</v>
      </c>
      <c r="N16" s="18" t="s">
        <v>64</v>
      </c>
      <c r="O16" s="19">
        <v>5.75</v>
      </c>
      <c r="P16" s="19">
        <v>6.25</v>
      </c>
      <c r="Q16" s="20">
        <f>P16-O16</f>
      </c>
    </row>
    <row r="17" ht="18" customHeight="1" spans="1:17" x14ac:dyDescent="0.25">
      <c r="A17" s="17" t="s">
        <v>104</v>
      </c>
      <c r="B17" s="17" t="s">
        <v>105</v>
      </c>
      <c r="C17" s="18" t="s">
        <v>46</v>
      </c>
      <c r="D17" s="18" t="s">
        <v>47</v>
      </c>
      <c r="E17" s="18" t="s">
        <v>37</v>
      </c>
      <c r="F17" s="18" t="s">
        <v>38</v>
      </c>
      <c r="G17" s="18" t="s">
        <v>48</v>
      </c>
      <c r="H17" s="18" t="s">
        <v>48</v>
      </c>
      <c r="I17" s="18" t="s">
        <v>48</v>
      </c>
      <c r="J17" s="18" t="s">
        <v>48</v>
      </c>
      <c r="K17" s="18" t="s">
        <v>42</v>
      </c>
      <c r="L17" s="18" t="s">
        <v>42</v>
      </c>
      <c r="M17" s="18" t="s">
        <v>80</v>
      </c>
      <c r="N17" s="18" t="s">
        <v>80</v>
      </c>
      <c r="O17" s="19">
        <v>5.25</v>
      </c>
      <c r="P17" s="19">
        <v>5.5</v>
      </c>
      <c r="Q17" s="20">
        <f>P17-O17</f>
      </c>
    </row>
    <row r="18" ht="18" customHeight="1" spans="1:17" x14ac:dyDescent="0.25">
      <c r="A18" s="17" t="s">
        <v>106</v>
      </c>
      <c r="B18" s="17" t="s">
        <v>107</v>
      </c>
      <c r="C18" s="18" t="s">
        <v>76</v>
      </c>
      <c r="D18" s="18" t="s">
        <v>59</v>
      </c>
      <c r="E18" s="18" t="s">
        <v>60</v>
      </c>
      <c r="F18" s="18" t="s">
        <v>61</v>
      </c>
      <c r="G18" s="18" t="s">
        <v>48</v>
      </c>
      <c r="H18" s="18" t="s">
        <v>48</v>
      </c>
      <c r="I18" s="18" t="s">
        <v>48</v>
      </c>
      <c r="J18" s="18" t="s">
        <v>48</v>
      </c>
      <c r="K18" s="18" t="s">
        <v>42</v>
      </c>
      <c r="L18" s="18" t="s">
        <v>42</v>
      </c>
      <c r="M18" s="18" t="s">
        <v>108</v>
      </c>
      <c r="N18" s="18" t="s">
        <v>109</v>
      </c>
      <c r="O18" s="19">
        <v>4</v>
      </c>
      <c r="P18" s="19">
        <v>4.25</v>
      </c>
      <c r="Q18" s="20">
        <f>P18-O18</f>
      </c>
    </row>
    <row r="19" ht="18" customHeight="1" spans="1:17" x14ac:dyDescent="0.25">
      <c r="A19" s="17" t="s">
        <v>110</v>
      </c>
      <c r="B19" s="17" t="s">
        <v>111</v>
      </c>
      <c r="C19" s="18" t="s">
        <v>35</v>
      </c>
      <c r="D19" s="18" t="s">
        <v>36</v>
      </c>
      <c r="E19" s="18" t="s">
        <v>37</v>
      </c>
      <c r="F19" s="18" t="s">
        <v>38</v>
      </c>
      <c r="G19" s="18" t="s">
        <v>48</v>
      </c>
      <c r="H19" s="18" t="s">
        <v>48</v>
      </c>
      <c r="I19" s="18" t="s">
        <v>48</v>
      </c>
      <c r="J19" s="18" t="s">
        <v>48</v>
      </c>
      <c r="K19" s="18" t="s">
        <v>42</v>
      </c>
      <c r="L19" s="18" t="s">
        <v>42</v>
      </c>
      <c r="M19" s="18" t="s">
        <v>79</v>
      </c>
      <c r="N19" s="18" t="s">
        <v>80</v>
      </c>
      <c r="O19" s="19">
        <v>5.5</v>
      </c>
      <c r="P19" s="19">
        <v>5.75</v>
      </c>
      <c r="Q19" s="20">
        <f>P19-O19</f>
      </c>
    </row>
    <row r="20" ht="18" customHeight="1" spans="1:17" x14ac:dyDescent="0.25">
      <c r="A20" s="17" t="s">
        <v>112</v>
      </c>
      <c r="B20" s="17" t="s">
        <v>113</v>
      </c>
      <c r="C20" s="18" t="s">
        <v>70</v>
      </c>
      <c r="D20" s="18" t="s">
        <v>47</v>
      </c>
      <c r="E20" s="18" t="s">
        <v>37</v>
      </c>
      <c r="F20" s="18" t="s">
        <v>38</v>
      </c>
      <c r="G20" s="18" t="s">
        <v>48</v>
      </c>
      <c r="H20" s="18" t="s">
        <v>48</v>
      </c>
      <c r="I20" s="18" t="s">
        <v>48</v>
      </c>
      <c r="J20" s="18" t="s">
        <v>48</v>
      </c>
      <c r="K20" s="18" t="s">
        <v>42</v>
      </c>
      <c r="L20" s="18" t="s">
        <v>42</v>
      </c>
      <c r="M20" s="18" t="s">
        <v>71</v>
      </c>
      <c r="N20" s="18" t="s">
        <v>67</v>
      </c>
      <c r="O20" s="19">
        <v>5.5</v>
      </c>
      <c r="P20" s="19">
        <v>5.75</v>
      </c>
      <c r="Q20" s="20">
        <f>P20-O20</f>
      </c>
    </row>
    <row r="21" ht="18" customHeight="1" spans="1:17" x14ac:dyDescent="0.25">
      <c r="A21" s="17" t="s">
        <v>114</v>
      </c>
      <c r="B21" s="17" t="s">
        <v>115</v>
      </c>
      <c r="C21" s="18" t="s">
        <v>116</v>
      </c>
      <c r="D21" s="18" t="s">
        <v>53</v>
      </c>
      <c r="E21" s="18" t="s">
        <v>37</v>
      </c>
      <c r="F21" s="18" t="s">
        <v>38</v>
      </c>
      <c r="G21" s="18" t="s">
        <v>48</v>
      </c>
      <c r="H21" s="18" t="s">
        <v>48</v>
      </c>
      <c r="I21" s="18" t="s">
        <v>48</v>
      </c>
      <c r="J21" s="18" t="s">
        <v>48</v>
      </c>
      <c r="K21" s="18" t="s">
        <v>55</v>
      </c>
      <c r="L21" s="18" t="s">
        <v>42</v>
      </c>
      <c r="M21" s="18" t="s">
        <v>117</v>
      </c>
      <c r="N21" s="18" t="s">
        <v>43</v>
      </c>
      <c r="O21" s="19">
        <v>5</v>
      </c>
      <c r="P21" s="19">
        <v>5.5</v>
      </c>
      <c r="Q21" s="20">
        <f>P21-O21</f>
      </c>
    </row>
    <row r="22" ht="18" customHeight="1" spans="1:17" x14ac:dyDescent="0.25">
      <c r="A22" s="17" t="s">
        <v>118</v>
      </c>
      <c r="B22" s="17" t="s">
        <v>119</v>
      </c>
      <c r="C22" s="18" t="s">
        <v>76</v>
      </c>
      <c r="D22" s="18" t="s">
        <v>59</v>
      </c>
      <c r="E22" s="18" t="s">
        <v>120</v>
      </c>
      <c r="F22" s="18" t="s">
        <v>38</v>
      </c>
      <c r="G22" s="18" t="s">
        <v>48</v>
      </c>
      <c r="H22" s="18" t="s">
        <v>48</v>
      </c>
      <c r="I22" s="18" t="s">
        <v>48</v>
      </c>
      <c r="J22" s="18" t="s">
        <v>48</v>
      </c>
      <c r="K22" s="18" t="s">
        <v>55</v>
      </c>
      <c r="L22" s="18" t="s">
        <v>42</v>
      </c>
      <c r="M22" s="18" t="s">
        <v>121</v>
      </c>
      <c r="N22" s="18" t="s">
        <v>80</v>
      </c>
      <c r="O22" s="19">
        <v>4.75</v>
      </c>
      <c r="P22" s="19">
        <v>5.25</v>
      </c>
      <c r="Q22" s="20">
        <f>P22-O22</f>
      </c>
    </row>
    <row r="23" ht="18" customHeight="1" spans="1:17" x14ac:dyDescent="0.25">
      <c r="A23" s="17" t="s">
        <v>122</v>
      </c>
      <c r="B23" s="17" t="s">
        <v>123</v>
      </c>
      <c r="C23" s="18" t="s">
        <v>53</v>
      </c>
      <c r="D23" s="18" t="s">
        <v>53</v>
      </c>
      <c r="E23" s="18" t="s">
        <v>37</v>
      </c>
      <c r="F23" s="18" t="s">
        <v>38</v>
      </c>
      <c r="G23" s="18" t="s">
        <v>48</v>
      </c>
      <c r="H23" s="18" t="s">
        <v>48</v>
      </c>
      <c r="I23" s="18" t="s">
        <v>48</v>
      </c>
      <c r="J23" s="18" t="s">
        <v>48</v>
      </c>
      <c r="K23" s="18" t="s">
        <v>55</v>
      </c>
      <c r="L23" s="18" t="s">
        <v>42</v>
      </c>
      <c r="M23" s="18" t="s">
        <v>124</v>
      </c>
      <c r="N23" s="18" t="s">
        <v>67</v>
      </c>
      <c r="O23" s="19">
        <v>4.75</v>
      </c>
      <c r="P23" s="19">
        <v>5.25</v>
      </c>
      <c r="Q23" s="20">
        <f>P23-O23</f>
      </c>
    </row>
    <row r="24" ht="18" customHeight="1" spans="1:17" x14ac:dyDescent="0.25">
      <c r="A24" s="17" t="s">
        <v>125</v>
      </c>
      <c r="B24" s="17" t="s">
        <v>126</v>
      </c>
      <c r="C24" s="18" t="s">
        <v>116</v>
      </c>
      <c r="D24" s="18" t="s">
        <v>53</v>
      </c>
      <c r="E24" s="18" t="s">
        <v>37</v>
      </c>
      <c r="F24" s="18" t="s">
        <v>38</v>
      </c>
      <c r="G24" s="18" t="s">
        <v>48</v>
      </c>
      <c r="H24" s="18" t="s">
        <v>48</v>
      </c>
      <c r="I24" s="18" t="s">
        <v>48</v>
      </c>
      <c r="J24" s="18" t="s">
        <v>48</v>
      </c>
      <c r="K24" s="18" t="s">
        <v>42</v>
      </c>
      <c r="L24" s="18" t="s">
        <v>42</v>
      </c>
      <c r="M24" s="18" t="s">
        <v>56</v>
      </c>
      <c r="N24" s="18" t="s">
        <v>43</v>
      </c>
      <c r="O24" s="19">
        <v>5</v>
      </c>
      <c r="P24" s="19">
        <v>5.5</v>
      </c>
      <c r="Q24" s="20">
        <f>P24-O24</f>
      </c>
    </row>
    <row r="25" ht="18" customHeight="1" spans="1:17" x14ac:dyDescent="0.25">
      <c r="A25" s="17" t="s">
        <v>127</v>
      </c>
      <c r="B25" s="17" t="s">
        <v>128</v>
      </c>
      <c r="C25" s="18" t="s">
        <v>87</v>
      </c>
      <c r="D25" s="18" t="s">
        <v>59</v>
      </c>
      <c r="E25" s="18" t="s">
        <v>120</v>
      </c>
      <c r="F25" s="18" t="s">
        <v>38</v>
      </c>
      <c r="G25" s="18" t="s">
        <v>48</v>
      </c>
      <c r="H25" s="18" t="s">
        <v>48</v>
      </c>
      <c r="I25" s="18" t="s">
        <v>48</v>
      </c>
      <c r="J25" s="18" t="s">
        <v>48</v>
      </c>
      <c r="K25" s="18" t="s">
        <v>42</v>
      </c>
      <c r="L25" s="18" t="s">
        <v>42</v>
      </c>
      <c r="M25" s="18" t="s">
        <v>67</v>
      </c>
      <c r="N25" s="18" t="s">
        <v>67</v>
      </c>
      <c r="O25" s="19">
        <v>5.25</v>
      </c>
      <c r="P25" s="19">
        <v>5.5</v>
      </c>
      <c r="Q25" s="20">
        <f>P25-O25</f>
      </c>
    </row>
    <row r="26" ht="18" customHeight="1" spans="1:17" x14ac:dyDescent="0.25">
      <c r="A26" s="17" t="s">
        <v>129</v>
      </c>
      <c r="B26" s="17" t="s">
        <v>130</v>
      </c>
      <c r="C26" s="18" t="s">
        <v>76</v>
      </c>
      <c r="D26" s="18" t="s">
        <v>59</v>
      </c>
      <c r="E26" s="18" t="s">
        <v>120</v>
      </c>
      <c r="F26" s="18" t="s">
        <v>38</v>
      </c>
      <c r="G26" s="18" t="s">
        <v>48</v>
      </c>
      <c r="H26" s="18" t="s">
        <v>48</v>
      </c>
      <c r="I26" s="18" t="s">
        <v>48</v>
      </c>
      <c r="J26" s="18" t="s">
        <v>48</v>
      </c>
      <c r="K26" s="18" t="s">
        <v>42</v>
      </c>
      <c r="L26" s="18" t="s">
        <v>42</v>
      </c>
      <c r="M26" s="18" t="s">
        <v>71</v>
      </c>
      <c r="N26" s="18" t="s">
        <v>67</v>
      </c>
      <c r="O26" s="19">
        <v>5.25</v>
      </c>
      <c r="P26" s="19">
        <v>5.5</v>
      </c>
      <c r="Q26" s="20">
        <f>P26-O26</f>
      </c>
    </row>
    <row r="27" ht="18" customHeight="1" spans="1:17" x14ac:dyDescent="0.25">
      <c r="A27" s="17" t="s">
        <v>131</v>
      </c>
      <c r="B27" s="17" t="s">
        <v>132</v>
      </c>
      <c r="C27" s="18" t="s">
        <v>59</v>
      </c>
      <c r="D27" s="18" t="s">
        <v>59</v>
      </c>
      <c r="E27" s="18" t="s">
        <v>37</v>
      </c>
      <c r="F27" s="18" t="s">
        <v>38</v>
      </c>
      <c r="G27" s="18" t="s">
        <v>48</v>
      </c>
      <c r="H27" s="18" t="s">
        <v>48</v>
      </c>
      <c r="I27" s="18" t="s">
        <v>48</v>
      </c>
      <c r="J27" s="18" t="s">
        <v>48</v>
      </c>
      <c r="K27" s="18" t="s">
        <v>133</v>
      </c>
      <c r="L27" s="18" t="s">
        <v>42</v>
      </c>
      <c r="M27" s="18" t="s">
        <v>43</v>
      </c>
      <c r="N27" s="18" t="s">
        <v>43</v>
      </c>
      <c r="O27" s="19">
        <v>5.25</v>
      </c>
      <c r="P27" s="19">
        <v>5.75</v>
      </c>
      <c r="Q27" s="20">
        <f>P27-O27</f>
      </c>
    </row>
    <row r="28" ht="18" customHeight="1" spans="1:17" x14ac:dyDescent="0.25">
      <c r="A28" s="17" t="s">
        <v>134</v>
      </c>
      <c r="B28" s="17" t="s">
        <v>135</v>
      </c>
      <c r="C28" s="18" t="s">
        <v>35</v>
      </c>
      <c r="D28" s="18" t="s">
        <v>36</v>
      </c>
      <c r="E28" s="18" t="s">
        <v>61</v>
      </c>
      <c r="F28" s="18" t="s">
        <v>61</v>
      </c>
      <c r="G28" s="18" t="s">
        <v>48</v>
      </c>
      <c r="H28" s="18" t="s">
        <v>48</v>
      </c>
      <c r="I28" s="18" t="s">
        <v>48</v>
      </c>
      <c r="J28" s="18" t="s">
        <v>48</v>
      </c>
      <c r="K28" s="18" t="s">
        <v>42</v>
      </c>
      <c r="L28" s="18" t="s">
        <v>42</v>
      </c>
      <c r="M28" s="18" t="s">
        <v>71</v>
      </c>
      <c r="N28" s="18" t="s">
        <v>67</v>
      </c>
      <c r="O28" s="19">
        <v>5</v>
      </c>
      <c r="P28" s="19">
        <v>5.25</v>
      </c>
      <c r="Q28" s="20">
        <f>P28-O28</f>
      </c>
    </row>
    <row r="29" ht="18" customHeight="1" spans="1:17" x14ac:dyDescent="0.25">
      <c r="A29" s="17" t="s">
        <v>136</v>
      </c>
      <c r="B29" s="17" t="s">
        <v>137</v>
      </c>
      <c r="C29" s="18" t="s">
        <v>70</v>
      </c>
      <c r="D29" s="18" t="s">
        <v>47</v>
      </c>
      <c r="E29" s="18" t="s">
        <v>54</v>
      </c>
      <c r="F29" s="18" t="s">
        <v>54</v>
      </c>
      <c r="G29" s="18" t="s">
        <v>48</v>
      </c>
      <c r="H29" s="18" t="s">
        <v>48</v>
      </c>
      <c r="I29" s="18" t="s">
        <v>48</v>
      </c>
      <c r="J29" s="18" t="s">
        <v>48</v>
      </c>
      <c r="K29" s="18" t="s">
        <v>42</v>
      </c>
      <c r="L29" s="18" t="s">
        <v>42</v>
      </c>
      <c r="M29" s="18" t="s">
        <v>80</v>
      </c>
      <c r="N29" s="18" t="s">
        <v>80</v>
      </c>
      <c r="O29" s="19">
        <v>5</v>
      </c>
      <c r="P29" s="19">
        <v>5.25</v>
      </c>
      <c r="Q29" s="20">
        <f>P29-O29</f>
      </c>
    </row>
    <row r="30" ht="18" customHeight="1" spans="1:17" x14ac:dyDescent="0.25">
      <c r="A30" s="17" t="s">
        <v>138</v>
      </c>
      <c r="B30" s="17" t="s">
        <v>139</v>
      </c>
      <c r="C30" s="18" t="s">
        <v>46</v>
      </c>
      <c r="D30" s="18" t="s">
        <v>47</v>
      </c>
      <c r="E30" s="18" t="s">
        <v>60</v>
      </c>
      <c r="F30" s="18" t="s">
        <v>61</v>
      </c>
      <c r="G30" s="18" t="s">
        <v>48</v>
      </c>
      <c r="H30" s="18" t="s">
        <v>48</v>
      </c>
      <c r="I30" s="18" t="s">
        <v>48</v>
      </c>
      <c r="J30" s="18" t="s">
        <v>48</v>
      </c>
      <c r="K30" s="18" t="s">
        <v>42</v>
      </c>
      <c r="L30" s="18" t="s">
        <v>42</v>
      </c>
      <c r="M30" s="18" t="s">
        <v>140</v>
      </c>
      <c r="N30" s="18" t="s">
        <v>109</v>
      </c>
      <c r="O30" s="19">
        <v>4</v>
      </c>
      <c r="P30" s="19">
        <v>4.5</v>
      </c>
      <c r="Q30" s="20">
        <f>P30-O30</f>
      </c>
    </row>
    <row r="31" ht="18" customHeight="1" spans="1:17" x14ac:dyDescent="0.25">
      <c r="A31" s="17" t="s">
        <v>141</v>
      </c>
      <c r="B31" s="17" t="s">
        <v>142</v>
      </c>
      <c r="C31" s="18" t="s">
        <v>87</v>
      </c>
      <c r="D31" s="18" t="s">
        <v>59</v>
      </c>
      <c r="E31" s="18" t="s">
        <v>143</v>
      </c>
      <c r="F31" s="18" t="s">
        <v>143</v>
      </c>
      <c r="G31" s="18" t="s">
        <v>48</v>
      </c>
      <c r="H31" s="18" t="s">
        <v>48</v>
      </c>
      <c r="I31" s="18" t="s">
        <v>48</v>
      </c>
      <c r="J31" s="18" t="s">
        <v>48</v>
      </c>
      <c r="K31" s="18" t="s">
        <v>133</v>
      </c>
      <c r="L31" s="18" t="s">
        <v>42</v>
      </c>
      <c r="M31" s="18" t="s">
        <v>43</v>
      </c>
      <c r="N31" s="18" t="s">
        <v>43</v>
      </c>
      <c r="O31" s="19">
        <v>4.25</v>
      </c>
      <c r="P31" s="19">
        <v>4.75</v>
      </c>
      <c r="Q31" s="20">
        <f>P31-O31</f>
      </c>
    </row>
    <row r="32" ht="18" customHeight="1" spans="1:17" x14ac:dyDescent="0.25">
      <c r="A32" s="17" t="s">
        <v>144</v>
      </c>
      <c r="B32" s="17" t="s">
        <v>145</v>
      </c>
      <c r="C32" s="18" t="s">
        <v>146</v>
      </c>
      <c r="D32" s="18" t="s">
        <v>147</v>
      </c>
      <c r="E32" s="18" t="s">
        <v>37</v>
      </c>
      <c r="F32" s="18" t="s">
        <v>38</v>
      </c>
      <c r="G32" s="18" t="s">
        <v>48</v>
      </c>
      <c r="H32" s="18" t="s">
        <v>48</v>
      </c>
      <c r="I32" s="18" t="s">
        <v>48</v>
      </c>
      <c r="J32" s="18" t="s">
        <v>48</v>
      </c>
      <c r="K32" s="18" t="s">
        <v>148</v>
      </c>
      <c r="L32" s="18" t="s">
        <v>148</v>
      </c>
      <c r="M32" s="18" t="s">
        <v>149</v>
      </c>
      <c r="N32" s="18" t="s">
        <v>150</v>
      </c>
      <c r="O32" s="19">
        <v>7</v>
      </c>
      <c r="P32" s="19">
        <v>7.25</v>
      </c>
      <c r="Q32" s="20">
        <f>P32-O32</f>
      </c>
    </row>
    <row r="33" ht="18" customHeight="1" spans="1:17" x14ac:dyDescent="0.25">
      <c r="A33" s="17" t="s">
        <v>151</v>
      </c>
      <c r="B33" s="17" t="s">
        <v>152</v>
      </c>
      <c r="C33" s="18" t="s">
        <v>70</v>
      </c>
      <c r="D33" s="18" t="s">
        <v>47</v>
      </c>
      <c r="E33" s="18" t="s">
        <v>54</v>
      </c>
      <c r="F33" s="18" t="s">
        <v>54</v>
      </c>
      <c r="G33" s="18" t="s">
        <v>48</v>
      </c>
      <c r="H33" s="18" t="s">
        <v>48</v>
      </c>
      <c r="I33" s="18" t="s">
        <v>48</v>
      </c>
      <c r="J33" s="18" t="s">
        <v>48</v>
      </c>
      <c r="K33" s="18" t="s">
        <v>55</v>
      </c>
      <c r="L33" s="18" t="s">
        <v>42</v>
      </c>
      <c r="M33" s="18" t="s">
        <v>71</v>
      </c>
      <c r="N33" s="18" t="s">
        <v>67</v>
      </c>
      <c r="O33" s="19">
        <v>5</v>
      </c>
      <c r="P33" s="19">
        <v>5.5</v>
      </c>
      <c r="Q33" s="20">
        <f>P33-O33</f>
      </c>
    </row>
    <row r="34" ht="18" customHeight="1" spans="1:17" x14ac:dyDescent="0.25">
      <c r="A34" s="17" t="s">
        <v>153</v>
      </c>
      <c r="B34" s="17" t="s">
        <v>154</v>
      </c>
      <c r="C34" s="18" t="s">
        <v>87</v>
      </c>
      <c r="D34" s="18" t="s">
        <v>59</v>
      </c>
      <c r="E34" s="18" t="s">
        <v>37</v>
      </c>
      <c r="F34" s="18" t="s">
        <v>38</v>
      </c>
      <c r="G34" s="18" t="s">
        <v>155</v>
      </c>
      <c r="H34" s="18" t="s">
        <v>156</v>
      </c>
      <c r="I34" s="18" t="s">
        <v>157</v>
      </c>
      <c r="J34" s="18" t="s">
        <v>148</v>
      </c>
      <c r="K34" s="18" t="s">
        <v>42</v>
      </c>
      <c r="L34" s="18" t="s">
        <v>42</v>
      </c>
      <c r="M34" s="18" t="s">
        <v>117</v>
      </c>
      <c r="N34" s="18" t="s">
        <v>43</v>
      </c>
      <c r="O34" s="19">
        <v>8.25</v>
      </c>
      <c r="P34" s="19">
        <v>8.75</v>
      </c>
      <c r="Q34" s="20">
        <f>P34-O34</f>
      </c>
    </row>
    <row r="35" ht="18" customHeight="1" spans="1:17" x14ac:dyDescent="0.25">
      <c r="A35" s="17" t="s">
        <v>158</v>
      </c>
      <c r="B35" s="17" t="s">
        <v>159</v>
      </c>
      <c r="C35" s="18" t="s">
        <v>46</v>
      </c>
      <c r="D35" s="18" t="s">
        <v>47</v>
      </c>
      <c r="E35" s="18" t="s">
        <v>143</v>
      </c>
      <c r="F35" s="18" t="s">
        <v>143</v>
      </c>
      <c r="G35" s="18" t="s">
        <v>48</v>
      </c>
      <c r="H35" s="18" t="s">
        <v>48</v>
      </c>
      <c r="I35" s="18" t="s">
        <v>48</v>
      </c>
      <c r="J35" s="18" t="s">
        <v>48</v>
      </c>
      <c r="K35" s="18" t="s">
        <v>55</v>
      </c>
      <c r="L35" s="18" t="s">
        <v>42</v>
      </c>
      <c r="M35" s="18" t="s">
        <v>124</v>
      </c>
      <c r="N35" s="18" t="s">
        <v>67</v>
      </c>
      <c r="O35" s="19">
        <v>4.5</v>
      </c>
      <c r="P35" s="19">
        <v>4.75</v>
      </c>
      <c r="Q35" s="20">
        <f>P35-O35</f>
      </c>
    </row>
    <row r="36" ht="18" customHeight="1" spans="1:17" x14ac:dyDescent="0.25">
      <c r="A36" s="17" t="s">
        <v>160</v>
      </c>
      <c r="B36" s="17" t="s">
        <v>161</v>
      </c>
      <c r="C36" s="18" t="s">
        <v>70</v>
      </c>
      <c r="D36" s="18" t="s">
        <v>47</v>
      </c>
      <c r="E36" s="18" t="s">
        <v>37</v>
      </c>
      <c r="F36" s="18" t="s">
        <v>38</v>
      </c>
      <c r="G36" s="18" t="s">
        <v>48</v>
      </c>
      <c r="H36" s="18" t="s">
        <v>48</v>
      </c>
      <c r="I36" s="18" t="s">
        <v>48</v>
      </c>
      <c r="J36" s="18" t="s">
        <v>48</v>
      </c>
      <c r="K36" s="18" t="s">
        <v>55</v>
      </c>
      <c r="L36" s="18" t="s">
        <v>42</v>
      </c>
      <c r="M36" s="18" t="s">
        <v>67</v>
      </c>
      <c r="N36" s="18" t="s">
        <v>67</v>
      </c>
      <c r="O36" s="19">
        <v>5.5</v>
      </c>
      <c r="P36" s="19">
        <v>5.75</v>
      </c>
      <c r="Q36" s="20">
        <f>P36-O36</f>
      </c>
    </row>
    <row r="37" ht="18" customHeight="1" spans="1:17" x14ac:dyDescent="0.25">
      <c r="A37" s="17" t="s">
        <v>162</v>
      </c>
      <c r="B37" s="17" t="s">
        <v>163</v>
      </c>
      <c r="C37" s="18" t="s">
        <v>76</v>
      </c>
      <c r="D37" s="18" t="s">
        <v>59</v>
      </c>
      <c r="E37" s="18" t="s">
        <v>54</v>
      </c>
      <c r="F37" s="18" t="s">
        <v>54</v>
      </c>
      <c r="G37" s="18" t="s">
        <v>48</v>
      </c>
      <c r="H37" s="18" t="s">
        <v>48</v>
      </c>
      <c r="I37" s="18" t="s">
        <v>48</v>
      </c>
      <c r="J37" s="18" t="s">
        <v>48</v>
      </c>
      <c r="K37" s="18" t="s">
        <v>55</v>
      </c>
      <c r="L37" s="18" t="s">
        <v>42</v>
      </c>
      <c r="M37" s="18" t="s">
        <v>43</v>
      </c>
      <c r="N37" s="18" t="s">
        <v>43</v>
      </c>
      <c r="O37" s="19">
        <v>5.5</v>
      </c>
      <c r="P37" s="19">
        <v>5.5</v>
      </c>
      <c r="Q37" s="20">
        <f>P37-O37</f>
      </c>
    </row>
    <row r="38" ht="18" customHeight="1" spans="1:17" x14ac:dyDescent="0.25">
      <c r="A38" s="17" t="s">
        <v>164</v>
      </c>
      <c r="B38" s="17" t="s">
        <v>165</v>
      </c>
      <c r="C38" s="18" t="s">
        <v>46</v>
      </c>
      <c r="D38" s="18" t="s">
        <v>47</v>
      </c>
      <c r="E38" s="18" t="s">
        <v>37</v>
      </c>
      <c r="F38" s="18" t="s">
        <v>38</v>
      </c>
      <c r="G38" s="18" t="s">
        <v>48</v>
      </c>
      <c r="H38" s="18" t="s">
        <v>48</v>
      </c>
      <c r="I38" s="18" t="s">
        <v>48</v>
      </c>
      <c r="J38" s="18" t="s">
        <v>48</v>
      </c>
      <c r="K38" s="18" t="s">
        <v>133</v>
      </c>
      <c r="L38" s="18" t="s">
        <v>42</v>
      </c>
      <c r="M38" s="18" t="s">
        <v>121</v>
      </c>
      <c r="N38" s="18" t="s">
        <v>80</v>
      </c>
      <c r="O38" s="19">
        <v>5</v>
      </c>
      <c r="P38" s="19">
        <v>5.5</v>
      </c>
      <c r="Q38" s="20">
        <f>P38-O38</f>
      </c>
    </row>
    <row r="39" ht="18" customHeight="1" spans="1:17" x14ac:dyDescent="0.25">
      <c r="A39" s="17" t="s">
        <v>166</v>
      </c>
      <c r="B39" s="17" t="s">
        <v>167</v>
      </c>
      <c r="C39" s="18" t="s">
        <v>47</v>
      </c>
      <c r="D39" s="18" t="s">
        <v>47</v>
      </c>
      <c r="E39" s="18" t="s">
        <v>168</v>
      </c>
      <c r="F39" s="18" t="s">
        <v>168</v>
      </c>
      <c r="G39" s="18" t="s">
        <v>48</v>
      </c>
      <c r="H39" s="18" t="s">
        <v>48</v>
      </c>
      <c r="I39" s="18" t="s">
        <v>48</v>
      </c>
      <c r="J39" s="18" t="s">
        <v>48</v>
      </c>
      <c r="K39" s="18" t="s">
        <v>62</v>
      </c>
      <c r="L39" s="18" t="s">
        <v>63</v>
      </c>
      <c r="M39" s="18" t="s">
        <v>49</v>
      </c>
      <c r="N39" s="18" t="s">
        <v>50</v>
      </c>
      <c r="O39" s="19">
        <v>6</v>
      </c>
      <c r="P39" s="19">
        <v>6.25</v>
      </c>
      <c r="Q39" s="20">
        <f>P39-O39</f>
      </c>
    </row>
    <row r="40" ht="18" customHeight="1" spans="1:17" x14ac:dyDescent="0.25">
      <c r="A40" s="17" t="s">
        <v>169</v>
      </c>
      <c r="B40" s="17" t="s">
        <v>170</v>
      </c>
      <c r="C40" s="18" t="s">
        <v>46</v>
      </c>
      <c r="D40" s="18" t="s">
        <v>47</v>
      </c>
      <c r="E40" s="18" t="s">
        <v>143</v>
      </c>
      <c r="F40" s="18" t="s">
        <v>143</v>
      </c>
      <c r="G40" s="18" t="s">
        <v>171</v>
      </c>
      <c r="H40" s="18" t="s">
        <v>172</v>
      </c>
      <c r="I40" s="18" t="s">
        <v>173</v>
      </c>
      <c r="J40" s="18" t="s">
        <v>174</v>
      </c>
      <c r="K40" s="18" t="s">
        <v>55</v>
      </c>
      <c r="L40" s="18" t="s">
        <v>42</v>
      </c>
      <c r="M40" s="18" t="s">
        <v>175</v>
      </c>
      <c r="N40" s="18" t="s">
        <v>176</v>
      </c>
      <c r="O40" s="19">
        <v>5</v>
      </c>
      <c r="P40" s="19">
        <v>5.5</v>
      </c>
      <c r="Q40" s="20">
        <f>P40-O40</f>
      </c>
    </row>
    <row r="41" ht="18" customHeight="1" spans="1:17" x14ac:dyDescent="0.25">
      <c r="A41" s="17" t="s">
        <v>177</v>
      </c>
      <c r="B41" s="17" t="s">
        <v>178</v>
      </c>
      <c r="C41" s="18" t="s">
        <v>179</v>
      </c>
      <c r="D41" s="18" t="s">
        <v>53</v>
      </c>
      <c r="E41" s="18" t="s">
        <v>38</v>
      </c>
      <c r="F41" s="18" t="s">
        <v>38</v>
      </c>
      <c r="G41" s="18" t="s">
        <v>180</v>
      </c>
      <c r="H41" s="18" t="s">
        <v>89</v>
      </c>
      <c r="I41" s="18" t="s">
        <v>39</v>
      </c>
      <c r="J41" s="18" t="s">
        <v>39</v>
      </c>
      <c r="K41" s="18" t="s">
        <v>181</v>
      </c>
      <c r="L41" s="18" t="s">
        <v>181</v>
      </c>
      <c r="M41" s="18" t="s">
        <v>43</v>
      </c>
      <c r="N41" s="18" t="s">
        <v>43</v>
      </c>
      <c r="O41" s="19">
        <v>6.5</v>
      </c>
      <c r="P41" s="19">
        <v>6.75</v>
      </c>
      <c r="Q41" s="20">
        <f>P41-O41</f>
      </c>
    </row>
    <row r="42" ht="18" customHeight="1" spans="1:17" x14ac:dyDescent="0.25">
      <c r="A42" s="21" t="s">
        <v>182</v>
      </c>
      <c r="B42" s="17" t="s">
        <v>183</v>
      </c>
      <c r="C42" s="18" t="s">
        <v>87</v>
      </c>
      <c r="D42" s="18" t="s">
        <v>59</v>
      </c>
      <c r="E42" s="18" t="s">
        <v>120</v>
      </c>
      <c r="F42" s="18" t="s">
        <v>38</v>
      </c>
      <c r="G42" s="18" t="s">
        <v>184</v>
      </c>
      <c r="H42" s="18" t="s">
        <v>185</v>
      </c>
      <c r="I42" s="18" t="s">
        <v>186</v>
      </c>
      <c r="J42" s="18" t="s">
        <v>41</v>
      </c>
      <c r="K42" s="18" t="s">
        <v>55</v>
      </c>
      <c r="L42" s="18" t="s">
        <v>42</v>
      </c>
      <c r="M42" s="18" t="s">
        <v>56</v>
      </c>
      <c r="N42" s="18" t="s">
        <v>43</v>
      </c>
      <c r="O42" s="19">
        <v>6.75</v>
      </c>
      <c r="P42" s="19">
        <v>7.5</v>
      </c>
      <c r="Q42" s="20">
        <f>P42-O42</f>
      </c>
    </row>
    <row r="43" ht="18" customHeight="1" spans="1:17" x14ac:dyDescent="0.25">
      <c r="A43" s="17" t="s">
        <v>187</v>
      </c>
      <c r="B43" s="17" t="s">
        <v>188</v>
      </c>
      <c r="C43" s="18" t="s">
        <v>87</v>
      </c>
      <c r="D43" s="18" t="s">
        <v>59</v>
      </c>
      <c r="E43" s="18" t="s">
        <v>189</v>
      </c>
      <c r="F43" s="18" t="s">
        <v>61</v>
      </c>
      <c r="G43" s="18" t="s">
        <v>48</v>
      </c>
      <c r="H43" s="18" t="s">
        <v>48</v>
      </c>
      <c r="I43" s="18" t="s">
        <v>48</v>
      </c>
      <c r="J43" s="18" t="s">
        <v>48</v>
      </c>
      <c r="K43" s="18" t="s">
        <v>55</v>
      </c>
      <c r="L43" s="18" t="s">
        <v>42</v>
      </c>
      <c r="M43" s="18" t="s">
        <v>43</v>
      </c>
      <c r="N43" s="18" t="s">
        <v>43</v>
      </c>
      <c r="O43" s="19">
        <v>4.75</v>
      </c>
      <c r="P43" s="19">
        <v>5</v>
      </c>
      <c r="Q43" s="20">
        <f>P43-O43</f>
      </c>
    </row>
    <row r="44" ht="18" customHeight="1" spans="1:17" x14ac:dyDescent="0.25">
      <c r="A44" s="17" t="s">
        <v>190</v>
      </c>
      <c r="B44" s="17" t="s">
        <v>191</v>
      </c>
      <c r="C44" s="18" t="s">
        <v>76</v>
      </c>
      <c r="D44" s="18" t="s">
        <v>59</v>
      </c>
      <c r="E44" s="18" t="s">
        <v>38</v>
      </c>
      <c r="F44" s="18" t="s">
        <v>38</v>
      </c>
      <c r="G44" s="18" t="s">
        <v>48</v>
      </c>
      <c r="H44" s="18" t="s">
        <v>48</v>
      </c>
      <c r="I44" s="18" t="s">
        <v>48</v>
      </c>
      <c r="J44" s="18" t="s">
        <v>48</v>
      </c>
      <c r="K44" s="18" t="s">
        <v>62</v>
      </c>
      <c r="L44" s="18" t="s">
        <v>63</v>
      </c>
      <c r="M44" s="18" t="s">
        <v>43</v>
      </c>
      <c r="N44" s="18" t="s">
        <v>43</v>
      </c>
      <c r="O44" s="19">
        <v>6</v>
      </c>
      <c r="P44" s="19">
        <v>6</v>
      </c>
      <c r="Q44" s="20">
        <f>P44-O44</f>
      </c>
    </row>
    <row r="45" ht="18" customHeight="1" spans="1:17" x14ac:dyDescent="0.25">
      <c r="A45" s="17" t="s">
        <v>192</v>
      </c>
      <c r="B45" s="17" t="s">
        <v>193</v>
      </c>
      <c r="C45" s="18" t="s">
        <v>194</v>
      </c>
      <c r="D45" s="18" t="s">
        <v>36</v>
      </c>
      <c r="E45" s="18" t="s">
        <v>54</v>
      </c>
      <c r="F45" s="18" t="s">
        <v>54</v>
      </c>
      <c r="G45" s="18" t="s">
        <v>48</v>
      </c>
      <c r="H45" s="18" t="s">
        <v>48</v>
      </c>
      <c r="I45" s="18" t="s">
        <v>48</v>
      </c>
      <c r="J45" s="18" t="s">
        <v>48</v>
      </c>
      <c r="K45" s="18" t="s">
        <v>55</v>
      </c>
      <c r="L45" s="18" t="s">
        <v>42</v>
      </c>
      <c r="M45" s="18" t="s">
        <v>108</v>
      </c>
      <c r="N45" s="18" t="s">
        <v>109</v>
      </c>
      <c r="O45" s="19">
        <v>5</v>
      </c>
      <c r="P45" s="19">
        <v>5.25</v>
      </c>
      <c r="Q45" s="20">
        <f>P45-O45</f>
      </c>
    </row>
    <row r="46" ht="18" customHeight="1" spans="1:17" x14ac:dyDescent="0.25">
      <c r="A46" s="17" t="s">
        <v>195</v>
      </c>
      <c r="B46" s="17" t="s">
        <v>196</v>
      </c>
      <c r="C46" s="18" t="s">
        <v>194</v>
      </c>
      <c r="D46" s="18" t="s">
        <v>36</v>
      </c>
      <c r="E46" s="18" t="s">
        <v>38</v>
      </c>
      <c r="F46" s="18" t="s">
        <v>38</v>
      </c>
      <c r="G46" s="18" t="s">
        <v>48</v>
      </c>
      <c r="H46" s="18" t="s">
        <v>48</v>
      </c>
      <c r="I46" s="18" t="s">
        <v>48</v>
      </c>
      <c r="J46" s="18" t="s">
        <v>48</v>
      </c>
      <c r="K46" s="18" t="s">
        <v>55</v>
      </c>
      <c r="L46" s="18" t="s">
        <v>42</v>
      </c>
      <c r="M46" s="18" t="s">
        <v>103</v>
      </c>
      <c r="N46" s="18" t="s">
        <v>64</v>
      </c>
      <c r="O46" s="19">
        <v>6.25</v>
      </c>
      <c r="P46" s="19">
        <v>6.5</v>
      </c>
      <c r="Q46" s="20">
        <f>P46-O46</f>
      </c>
    </row>
    <row r="47" ht="18" customHeight="1" spans="1:17" x14ac:dyDescent="0.25">
      <c r="A47" s="17" t="s">
        <v>197</v>
      </c>
      <c r="B47" s="17" t="s">
        <v>198</v>
      </c>
      <c r="C47" s="18" t="s">
        <v>76</v>
      </c>
      <c r="D47" s="18" t="s">
        <v>59</v>
      </c>
      <c r="E47" s="18" t="s">
        <v>54</v>
      </c>
      <c r="F47" s="18" t="s">
        <v>54</v>
      </c>
      <c r="G47" s="18" t="s">
        <v>199</v>
      </c>
      <c r="H47" s="18" t="s">
        <v>39</v>
      </c>
      <c r="I47" s="18" t="s">
        <v>63</v>
      </c>
      <c r="J47" s="18" t="s">
        <v>63</v>
      </c>
      <c r="K47" s="18" t="s">
        <v>55</v>
      </c>
      <c r="L47" s="18" t="s">
        <v>42</v>
      </c>
      <c r="M47" s="18" t="s">
        <v>49</v>
      </c>
      <c r="N47" s="18" t="s">
        <v>50</v>
      </c>
      <c r="O47" s="19">
        <v>8</v>
      </c>
      <c r="P47" s="19">
        <v>8.25</v>
      </c>
      <c r="Q47" s="20">
        <f>P47-O47</f>
      </c>
    </row>
    <row r="48" ht="18" customHeight="1" spans="1:17" x14ac:dyDescent="0.25">
      <c r="A48" s="17" t="s">
        <v>200</v>
      </c>
      <c r="B48" s="17" t="s">
        <v>201</v>
      </c>
      <c r="C48" s="18" t="s">
        <v>70</v>
      </c>
      <c r="D48" s="18" t="s">
        <v>47</v>
      </c>
      <c r="E48" s="18" t="s">
        <v>189</v>
      </c>
      <c r="F48" s="18" t="s">
        <v>61</v>
      </c>
      <c r="G48" s="18" t="s">
        <v>48</v>
      </c>
      <c r="H48" s="18" t="s">
        <v>48</v>
      </c>
      <c r="I48" s="18" t="s">
        <v>48</v>
      </c>
      <c r="J48" s="18" t="s">
        <v>48</v>
      </c>
      <c r="K48" s="18" t="s">
        <v>55</v>
      </c>
      <c r="L48" s="18" t="s">
        <v>42</v>
      </c>
      <c r="M48" s="18" t="s">
        <v>79</v>
      </c>
      <c r="N48" s="18" t="s">
        <v>80</v>
      </c>
      <c r="O48" s="19">
        <v>4.25</v>
      </c>
      <c r="P48" s="19">
        <v>4.75</v>
      </c>
      <c r="Q48" s="20">
        <f>P48-O48</f>
      </c>
    </row>
    <row r="49" ht="18" customHeight="1" spans="1:17" x14ac:dyDescent="0.25">
      <c r="A49" s="21" t="s">
        <v>202</v>
      </c>
      <c r="B49" s="17" t="s">
        <v>203</v>
      </c>
      <c r="C49" s="18" t="s">
        <v>87</v>
      </c>
      <c r="D49" s="18" t="s">
        <v>59</v>
      </c>
      <c r="E49" s="18" t="s">
        <v>37</v>
      </c>
      <c r="F49" s="18" t="s">
        <v>38</v>
      </c>
      <c r="G49" s="18" t="s">
        <v>180</v>
      </c>
      <c r="H49" s="18" t="s">
        <v>89</v>
      </c>
      <c r="I49" s="18" t="s">
        <v>204</v>
      </c>
      <c r="J49" s="18" t="s">
        <v>100</v>
      </c>
      <c r="K49" s="18" t="s">
        <v>205</v>
      </c>
      <c r="L49" s="18" t="s">
        <v>63</v>
      </c>
      <c r="M49" s="18" t="s">
        <v>117</v>
      </c>
      <c r="N49" s="18" t="s">
        <v>43</v>
      </c>
      <c r="O49" s="19">
        <v>7.75</v>
      </c>
      <c r="P49" s="19">
        <v>8.5</v>
      </c>
      <c r="Q49" s="20">
        <f>P49-O49</f>
      </c>
    </row>
    <row r="50" ht="18" customHeight="1" spans="1:17" x14ac:dyDescent="0.25">
      <c r="A50" s="17" t="s">
        <v>206</v>
      </c>
      <c r="B50" s="17" t="s">
        <v>207</v>
      </c>
      <c r="C50" s="18" t="s">
        <v>59</v>
      </c>
      <c r="D50" s="18" t="s">
        <v>59</v>
      </c>
      <c r="E50" s="18" t="s">
        <v>37</v>
      </c>
      <c r="F50" s="18" t="s">
        <v>38</v>
      </c>
      <c r="G50" s="18" t="s">
        <v>48</v>
      </c>
      <c r="H50" s="18" t="s">
        <v>48</v>
      </c>
      <c r="I50" s="18" t="s">
        <v>48</v>
      </c>
      <c r="J50" s="18" t="s">
        <v>48</v>
      </c>
      <c r="K50" s="18" t="s">
        <v>133</v>
      </c>
      <c r="L50" s="18" t="s">
        <v>42</v>
      </c>
      <c r="M50" s="18" t="s">
        <v>56</v>
      </c>
      <c r="N50" s="18" t="s">
        <v>43</v>
      </c>
      <c r="O50" s="19">
        <v>5.25</v>
      </c>
      <c r="P50" s="19">
        <v>5.75</v>
      </c>
      <c r="Q50" s="20">
        <f>P50-O50</f>
      </c>
    </row>
    <row r="51" ht="18" customHeight="1" spans="1:17" x14ac:dyDescent="0.25">
      <c r="A51" s="17" t="s">
        <v>208</v>
      </c>
      <c r="B51" s="17" t="s">
        <v>209</v>
      </c>
      <c r="C51" s="18" t="s">
        <v>87</v>
      </c>
      <c r="D51" s="18" t="s">
        <v>59</v>
      </c>
      <c r="E51" s="18" t="s">
        <v>143</v>
      </c>
      <c r="F51" s="18" t="s">
        <v>143</v>
      </c>
      <c r="G51" s="18" t="s">
        <v>48</v>
      </c>
      <c r="H51" s="18" t="s">
        <v>48</v>
      </c>
      <c r="I51" s="18" t="s">
        <v>48</v>
      </c>
      <c r="J51" s="18" t="s">
        <v>48</v>
      </c>
      <c r="K51" s="18" t="s">
        <v>210</v>
      </c>
      <c r="L51" s="18" t="s">
        <v>181</v>
      </c>
      <c r="M51" s="18" t="s">
        <v>79</v>
      </c>
      <c r="N51" s="18" t="s">
        <v>80</v>
      </c>
      <c r="O51" s="19">
        <v>3.5</v>
      </c>
      <c r="P51" s="19">
        <v>4</v>
      </c>
      <c r="Q51" s="20">
        <f>P51-O51</f>
      </c>
    </row>
    <row r="52" ht="18" customHeight="1" spans="1:17" x14ac:dyDescent="0.25">
      <c r="A52" s="17" t="s">
        <v>211</v>
      </c>
      <c r="B52" s="17" t="s">
        <v>212</v>
      </c>
      <c r="C52" s="18" t="s">
        <v>116</v>
      </c>
      <c r="D52" s="18" t="s">
        <v>53</v>
      </c>
      <c r="E52" s="18" t="s">
        <v>120</v>
      </c>
      <c r="F52" s="18" t="s">
        <v>38</v>
      </c>
      <c r="G52" s="18" t="s">
        <v>213</v>
      </c>
      <c r="H52" s="18" t="s">
        <v>156</v>
      </c>
      <c r="I52" s="18" t="s">
        <v>100</v>
      </c>
      <c r="J52" s="18" t="s">
        <v>100</v>
      </c>
      <c r="K52" s="18" t="s">
        <v>133</v>
      </c>
      <c r="L52" s="18" t="s">
        <v>42</v>
      </c>
      <c r="M52" s="18" t="s">
        <v>56</v>
      </c>
      <c r="N52" s="18" t="s">
        <v>43</v>
      </c>
      <c r="O52" s="19">
        <v>7</v>
      </c>
      <c r="P52" s="19">
        <v>7.5</v>
      </c>
      <c r="Q52" s="20">
        <f>P52-O52</f>
      </c>
    </row>
    <row r="53" ht="18" customHeight="1" spans="1:17" x14ac:dyDescent="0.25">
      <c r="A53" s="17" t="s">
        <v>214</v>
      </c>
      <c r="B53" s="17" t="s">
        <v>215</v>
      </c>
      <c r="C53" s="18" t="s">
        <v>47</v>
      </c>
      <c r="D53" s="18" t="s">
        <v>47</v>
      </c>
      <c r="E53" s="18" t="s">
        <v>143</v>
      </c>
      <c r="F53" s="18" t="s">
        <v>143</v>
      </c>
      <c r="G53" s="18" t="s">
        <v>48</v>
      </c>
      <c r="H53" s="18" t="s">
        <v>48</v>
      </c>
      <c r="I53" s="18" t="s">
        <v>48</v>
      </c>
      <c r="J53" s="18" t="s">
        <v>48</v>
      </c>
      <c r="K53" s="18" t="s">
        <v>55</v>
      </c>
      <c r="L53" s="18" t="s">
        <v>42</v>
      </c>
      <c r="M53" s="18" t="s">
        <v>124</v>
      </c>
      <c r="N53" s="18" t="s">
        <v>67</v>
      </c>
      <c r="O53" s="19">
        <v>4.5</v>
      </c>
      <c r="P53" s="19">
        <v>4.75</v>
      </c>
      <c r="Q53" s="20">
        <f>P53-O53</f>
      </c>
    </row>
    <row r="54" ht="18" customHeight="1" spans="1:17" x14ac:dyDescent="0.25">
      <c r="A54" s="17" t="s">
        <v>216</v>
      </c>
      <c r="B54" s="17" t="s">
        <v>217</v>
      </c>
      <c r="C54" s="18" t="s">
        <v>59</v>
      </c>
      <c r="D54" s="18" t="s">
        <v>59</v>
      </c>
      <c r="E54" s="18" t="s">
        <v>38</v>
      </c>
      <c r="F54" s="18" t="s">
        <v>38</v>
      </c>
      <c r="G54" s="18" t="s">
        <v>180</v>
      </c>
      <c r="H54" s="18" t="s">
        <v>89</v>
      </c>
      <c r="I54" s="18" t="s">
        <v>204</v>
      </c>
      <c r="J54" s="18" t="s">
        <v>100</v>
      </c>
      <c r="K54" s="18" t="s">
        <v>133</v>
      </c>
      <c r="L54" s="18" t="s">
        <v>42</v>
      </c>
      <c r="M54" s="18" t="s">
        <v>49</v>
      </c>
      <c r="N54" s="18" t="s">
        <v>50</v>
      </c>
      <c r="O54" s="19">
        <v>8.25</v>
      </c>
      <c r="P54" s="19">
        <v>8.75</v>
      </c>
      <c r="Q54" s="20">
        <f>P54-O54</f>
      </c>
    </row>
    <row r="55" ht="18" customHeight="1" spans="1:17" x14ac:dyDescent="0.25">
      <c r="A55" s="21" t="s">
        <v>218</v>
      </c>
      <c r="B55" s="17" t="s">
        <v>219</v>
      </c>
      <c r="C55" s="18" t="s">
        <v>70</v>
      </c>
      <c r="D55" s="18" t="s">
        <v>47</v>
      </c>
      <c r="E55" s="18" t="s">
        <v>38</v>
      </c>
      <c r="F55" s="18" t="s">
        <v>38</v>
      </c>
      <c r="G55" s="18" t="s">
        <v>220</v>
      </c>
      <c r="H55" s="18" t="s">
        <v>78</v>
      </c>
      <c r="I55" s="18" t="s">
        <v>98</v>
      </c>
      <c r="J55" s="18" t="s">
        <v>221</v>
      </c>
      <c r="K55" s="18" t="s">
        <v>55</v>
      </c>
      <c r="L55" s="18" t="s">
        <v>42</v>
      </c>
      <c r="M55" s="18" t="s">
        <v>117</v>
      </c>
      <c r="N55" s="18" t="s">
        <v>43</v>
      </c>
      <c r="O55" s="19">
        <v>7.5</v>
      </c>
      <c r="P55" s="19">
        <v>8.25</v>
      </c>
      <c r="Q55" s="20">
        <f>P55-O55</f>
      </c>
    </row>
    <row r="56" ht="18" customHeight="1" spans="1:17" x14ac:dyDescent="0.25">
      <c r="A56" s="17" t="s">
        <v>222</v>
      </c>
      <c r="B56" s="17" t="s">
        <v>223</v>
      </c>
      <c r="C56" s="18" t="s">
        <v>194</v>
      </c>
      <c r="D56" s="18" t="s">
        <v>36</v>
      </c>
      <c r="E56" s="18" t="s">
        <v>54</v>
      </c>
      <c r="F56" s="18" t="s">
        <v>54</v>
      </c>
      <c r="G56" s="18" t="s">
        <v>48</v>
      </c>
      <c r="H56" s="18" t="s">
        <v>48</v>
      </c>
      <c r="I56" s="18" t="s">
        <v>48</v>
      </c>
      <c r="J56" s="18" t="s">
        <v>48</v>
      </c>
      <c r="K56" s="18" t="s">
        <v>55</v>
      </c>
      <c r="L56" s="18" t="s">
        <v>42</v>
      </c>
      <c r="M56" s="18" t="s">
        <v>103</v>
      </c>
      <c r="N56" s="18" t="s">
        <v>64</v>
      </c>
      <c r="O56" s="19">
        <v>6</v>
      </c>
      <c r="P56" s="19">
        <v>6.25</v>
      </c>
      <c r="Q56" s="20">
        <f>P56-O56</f>
      </c>
    </row>
    <row r="57" ht="18" customHeight="1" spans="1:17" x14ac:dyDescent="0.25">
      <c r="A57" s="17" t="s">
        <v>224</v>
      </c>
      <c r="B57" s="17" t="s">
        <v>225</v>
      </c>
      <c r="C57" s="18" t="s">
        <v>116</v>
      </c>
      <c r="D57" s="18" t="s">
        <v>53</v>
      </c>
      <c r="E57" s="18" t="s">
        <v>37</v>
      </c>
      <c r="F57" s="18" t="s">
        <v>38</v>
      </c>
      <c r="G57" s="18" t="s">
        <v>48</v>
      </c>
      <c r="H57" s="18" t="s">
        <v>48</v>
      </c>
      <c r="I57" s="18" t="s">
        <v>48</v>
      </c>
      <c r="J57" s="18" t="s">
        <v>48</v>
      </c>
      <c r="K57" s="18" t="s">
        <v>226</v>
      </c>
      <c r="L57" s="18" t="s">
        <v>148</v>
      </c>
      <c r="M57" s="18" t="s">
        <v>117</v>
      </c>
      <c r="N57" s="18" t="s">
        <v>43</v>
      </c>
      <c r="O57" s="19">
        <v>5.5</v>
      </c>
      <c r="P57" s="19">
        <v>6</v>
      </c>
      <c r="Q57" s="20">
        <f>P57-O57</f>
      </c>
    </row>
    <row r="58" ht="18" customHeight="1" spans="1:17" x14ac:dyDescent="0.25">
      <c r="A58" s="17" t="s">
        <v>227</v>
      </c>
      <c r="B58" s="17" t="s">
        <v>228</v>
      </c>
      <c r="C58" s="18" t="s">
        <v>179</v>
      </c>
      <c r="D58" s="18" t="s">
        <v>53</v>
      </c>
      <c r="E58" s="18" t="s">
        <v>120</v>
      </c>
      <c r="F58" s="18" t="s">
        <v>38</v>
      </c>
      <c r="G58" s="18" t="s">
        <v>48</v>
      </c>
      <c r="H58" s="18" t="s">
        <v>48</v>
      </c>
      <c r="I58" s="18" t="s">
        <v>48</v>
      </c>
      <c r="J58" s="18" t="s">
        <v>48</v>
      </c>
      <c r="K58" s="18" t="s">
        <v>226</v>
      </c>
      <c r="L58" s="18" t="s">
        <v>148</v>
      </c>
      <c r="M58" s="18" t="s">
        <v>50</v>
      </c>
      <c r="N58" s="18" t="s">
        <v>50</v>
      </c>
      <c r="O58" s="19">
        <v>6.25</v>
      </c>
      <c r="P58" s="19">
        <v>6.5</v>
      </c>
      <c r="Q58" s="20">
        <f>P58-O58</f>
      </c>
    </row>
    <row r="59" ht="18" customHeight="1" spans="1:17" x14ac:dyDescent="0.25">
      <c r="A59" s="17" t="s">
        <v>229</v>
      </c>
      <c r="B59" s="17" t="s">
        <v>230</v>
      </c>
      <c r="C59" s="18" t="s">
        <v>47</v>
      </c>
      <c r="D59" s="18" t="s">
        <v>47</v>
      </c>
      <c r="E59" s="18" t="s">
        <v>189</v>
      </c>
      <c r="F59" s="18" t="s">
        <v>61</v>
      </c>
      <c r="G59" s="18" t="s">
        <v>98</v>
      </c>
      <c r="H59" s="18" t="s">
        <v>99</v>
      </c>
      <c r="I59" s="18" t="s">
        <v>231</v>
      </c>
      <c r="J59" s="18" t="s">
        <v>231</v>
      </c>
      <c r="K59" s="18" t="s">
        <v>226</v>
      </c>
      <c r="L59" s="18" t="s">
        <v>148</v>
      </c>
      <c r="M59" s="18" t="s">
        <v>232</v>
      </c>
      <c r="N59" s="18" t="s">
        <v>232</v>
      </c>
      <c r="O59" s="19">
        <v>6.25</v>
      </c>
      <c r="P59" s="19">
        <v>6.25</v>
      </c>
      <c r="Q59" s="20">
        <f>P59-O59</f>
      </c>
    </row>
    <row r="60" ht="18" customHeight="1" spans="1:17" x14ac:dyDescent="0.25">
      <c r="A60" s="17" t="s">
        <v>233</v>
      </c>
      <c r="B60" s="17" t="s">
        <v>234</v>
      </c>
      <c r="C60" s="18" t="s">
        <v>194</v>
      </c>
      <c r="D60" s="18" t="s">
        <v>36</v>
      </c>
      <c r="E60" s="18" t="s">
        <v>37</v>
      </c>
      <c r="F60" s="18" t="s">
        <v>38</v>
      </c>
      <c r="G60" s="18" t="s">
        <v>48</v>
      </c>
      <c r="H60" s="18" t="s">
        <v>48</v>
      </c>
      <c r="I60" s="18" t="s">
        <v>48</v>
      </c>
      <c r="J60" s="18" t="s">
        <v>48</v>
      </c>
      <c r="K60" s="18" t="s">
        <v>48</v>
      </c>
      <c r="L60" s="18" t="s">
        <v>48</v>
      </c>
      <c r="M60" s="18" t="s">
        <v>48</v>
      </c>
      <c r="N60" s="18" t="s">
        <v>48</v>
      </c>
      <c r="O60" s="19">
        <v>3</v>
      </c>
      <c r="P60" s="19">
        <v>3.25</v>
      </c>
      <c r="Q60" s="20">
        <f>P60-O60</f>
      </c>
    </row>
    <row r="61" ht="18" customHeight="1" spans="1:17" x14ac:dyDescent="0.25">
      <c r="A61" s="17" t="s">
        <v>235</v>
      </c>
      <c r="B61" s="17" t="s">
        <v>234</v>
      </c>
      <c r="C61" s="18" t="s">
        <v>47</v>
      </c>
      <c r="D61" s="18" t="s">
        <v>47</v>
      </c>
      <c r="E61" s="18" t="s">
        <v>37</v>
      </c>
      <c r="F61" s="18" t="s">
        <v>38</v>
      </c>
      <c r="G61" s="18" t="s">
        <v>48</v>
      </c>
      <c r="H61" s="18" t="s">
        <v>48</v>
      </c>
      <c r="I61" s="18" t="s">
        <v>48</v>
      </c>
      <c r="J61" s="18" t="s">
        <v>48</v>
      </c>
      <c r="K61" s="18" t="s">
        <v>48</v>
      </c>
      <c r="L61" s="18" t="s">
        <v>48</v>
      </c>
      <c r="M61" s="18" t="s">
        <v>48</v>
      </c>
      <c r="N61" s="18" t="s">
        <v>48</v>
      </c>
      <c r="O61" s="19">
        <v>2.75</v>
      </c>
      <c r="P61" s="19">
        <v>3</v>
      </c>
      <c r="Q61" s="20">
        <f>P61-O61</f>
      </c>
    </row>
    <row r="62" ht="18" customHeight="1" spans="1:17" x14ac:dyDescent="0.25">
      <c r="A62" s="17" t="s">
        <v>236</v>
      </c>
      <c r="B62" s="17" t="s">
        <v>237</v>
      </c>
      <c r="C62" s="18" t="s">
        <v>53</v>
      </c>
      <c r="D62" s="18" t="s">
        <v>53</v>
      </c>
      <c r="E62" s="18" t="s">
        <v>238</v>
      </c>
      <c r="F62" s="18" t="s">
        <v>238</v>
      </c>
      <c r="G62" s="18" t="s">
        <v>48</v>
      </c>
      <c r="H62" s="18" t="s">
        <v>48</v>
      </c>
      <c r="I62" s="18" t="s">
        <v>48</v>
      </c>
      <c r="J62" s="18" t="s">
        <v>48</v>
      </c>
      <c r="K62" s="18" t="s">
        <v>48</v>
      </c>
      <c r="L62" s="18" t="s">
        <v>48</v>
      </c>
      <c r="M62" s="18" t="s">
        <v>48</v>
      </c>
      <c r="N62" s="18" t="s">
        <v>48</v>
      </c>
      <c r="O62" s="19">
        <v>8</v>
      </c>
      <c r="P62" s="19">
        <v>8</v>
      </c>
      <c r="Q62" s="20">
        <f>P62-O62</f>
      </c>
    </row>
    <row r="63" ht="18" customHeight="1" spans="1:17" x14ac:dyDescent="0.25">
      <c r="A63" s="17" t="s">
        <v>239</v>
      </c>
      <c r="B63" s="17" t="s">
        <v>240</v>
      </c>
      <c r="C63" s="18" t="s">
        <v>53</v>
      </c>
      <c r="D63" s="18" t="s">
        <v>53</v>
      </c>
      <c r="E63" s="18" t="s">
        <v>238</v>
      </c>
      <c r="F63" s="18" t="s">
        <v>238</v>
      </c>
      <c r="G63" s="18" t="s">
        <v>48</v>
      </c>
      <c r="H63" s="18" t="s">
        <v>48</v>
      </c>
      <c r="I63" s="18" t="s">
        <v>48</v>
      </c>
      <c r="J63" s="18" t="s">
        <v>48</v>
      </c>
      <c r="K63" s="18" t="s">
        <v>48</v>
      </c>
      <c r="L63" s="18" t="s">
        <v>48</v>
      </c>
      <c r="M63" s="18" t="s">
        <v>48</v>
      </c>
      <c r="N63" s="18" t="s">
        <v>48</v>
      </c>
      <c r="O63" s="19">
        <v>8</v>
      </c>
      <c r="P63" s="19">
        <v>8</v>
      </c>
      <c r="Q63" s="20">
        <f>P63-O63</f>
      </c>
    </row>
    <row r="64" ht="20" customHeight="1" spans="1:17" x14ac:dyDescent="0.25">
      <c r="A64" s="22" t="s">
        <v>241</v>
      </c>
      <c r="B64" s="22">
        <v>62</v>
      </c>
      <c r="C64" s="23" t="s">
        <v>242</v>
      </c>
      <c r="D64" s="23" t="s">
        <v>242</v>
      </c>
      <c r="E64" s="23" t="s">
        <v>242</v>
      </c>
      <c r="F64" s="23" t="s">
        <v>242</v>
      </c>
      <c r="G64" s="23" t="s">
        <v>242</v>
      </c>
      <c r="H64" s="23" t="s">
        <v>242</v>
      </c>
      <c r="I64" s="23" t="s">
        <v>242</v>
      </c>
      <c r="J64" s="23" t="s">
        <v>242</v>
      </c>
      <c r="K64" s="23" t="s">
        <v>242</v>
      </c>
      <c r="L64" s="23" t="s">
        <v>242</v>
      </c>
      <c r="M64" s="23" t="s">
        <v>242</v>
      </c>
      <c r="N64" s="23" t="s">
        <v>242</v>
      </c>
      <c r="O64" s="24">
        <f>SUM(O2:O63)</f>
      </c>
      <c r="P64" s="24">
        <f>SUM(P2:P63)</f>
      </c>
      <c r="Q64" s="25">
        <f>SUM(Q2:Q63)</f>
      </c>
    </row>
  </sheetData>
  <autoFilter ref="A1:Q63"/>
  <conditionalFormatting sqref="A2:Q63">
    <cfRule type="expression" dxfId="0" priority="1">
      <formula>$Q2&gt;=0.75</formula>
    </cfRule>
  </conditionalFormatting>
  <printOptions horizontalCentered="1"/>
  <pageMargins left="0.4" right="0.4" top="0.6" bottom="0.5" header="0.25" footer="0.25"/>
  <pageSetup paperSize="1" orientation="landscape" horizontalDpi="4294967295" verticalDpi="4294967295" scale="100" fitToWidth="1" fitToHeight="0" firstPageNumber="1" useFirstPageNumber="1" copies="1"/>
  <headerFooter>
    <oddHeader>&amp;LProposed quarter-hour contract clocks&amp;ROctober 5, 2026</oddHeader>
    <oddFooter>&amp;LOne school day. Hours now = Full Day Rounded Quarter Hours.&amp;RPage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3"/>
  <sheetViews>
    <sheetView workbookViewId="0" showGridLines="0" zoomScale="100" zoomScaleNormal="100"/>
  </sheetViews>
  <sheetFormatPr defaultRowHeight="15" outlineLevelRow="0" outlineLevelCol="0" x14ac:dyDescent="55"/>
  <cols>
    <col min="1" max="1" width="46" customWidth="1"/>
    <col min="2" max="2" width="18" customWidth="1"/>
    <col min="3" max="3" width="62" customWidth="1"/>
  </cols>
  <sheetData>
    <row r="1" ht="28" customHeight="1" spans="1:3" x14ac:dyDescent="0.25">
      <c r="A1" s="1" t="s">
        <v>0</v>
      </c>
      <c r="B1" s="1"/>
      <c r="C1" s="1"/>
    </row>
    <row r="2" spans="1:3" x14ac:dyDescent="0.25">
      <c r="A2" s="2" t="s">
        <v>1</v>
      </c>
      <c r="B2" s="2"/>
      <c r="C2" s="2"/>
    </row>
    <row r="4" ht="48" customHeight="1" spans="1:3" x14ac:dyDescent="0.25">
      <c r="A4" s="3" t="s">
        <v>2</v>
      </c>
      <c r="B4" s="3"/>
      <c r="C4" s="3"/>
    </row>
    <row r="6" spans="1:2" x14ac:dyDescent="0.25">
      <c r="A6" s="4" t="s">
        <v>3</v>
      </c>
      <c r="B6" s="5">
        <f>Routes!Q64</f>
      </c>
    </row>
    <row r="7" spans="1:2" x14ac:dyDescent="0.25">
      <c r="A7" s="6" t="s">
        <v>4</v>
      </c>
      <c r="B7" s="7">
        <f>Routes!O64</f>
      </c>
    </row>
    <row r="8" spans="1:2" x14ac:dyDescent="0.25">
      <c r="A8" s="6" t="s">
        <v>5</v>
      </c>
      <c r="B8" s="7">
        <f>Routes!P64</f>
      </c>
    </row>
    <row r="9" spans="1:2" x14ac:dyDescent="0.25">
      <c r="A9" s="6" t="s">
        <v>6</v>
      </c>
      <c r="B9" s="8">
        <f>COUNTA(Routes!A2:A63)</f>
      </c>
    </row>
    <row r="11" spans="1:2" x14ac:dyDescent="0.25">
      <c r="A11" s="9" t="s">
        <v>7</v>
      </c>
      <c r="B11" s="10" t="s">
        <v>8</v>
      </c>
    </row>
    <row r="12" spans="1:2" x14ac:dyDescent="0.25">
      <c r="A12" s="11" t="s">
        <v>9</v>
      </c>
      <c r="B12" s="12">
        <f>COUNTIF(Routes!Q2:Q63,0)</f>
      </c>
    </row>
    <row r="13" spans="1:2" x14ac:dyDescent="0.25">
      <c r="A13" s="11" t="s">
        <v>10</v>
      </c>
      <c r="B13" s="12">
        <f>COUNTIF(Routes!Q2:Q63,0.25)</f>
      </c>
    </row>
    <row r="14" spans="1:2" x14ac:dyDescent="0.25">
      <c r="A14" s="11" t="s">
        <v>11</v>
      </c>
      <c r="B14" s="12">
        <f>COUNTIF(Routes!Q2:Q63,0.5)</f>
      </c>
    </row>
    <row r="15" spans="1:2" x14ac:dyDescent="0.25">
      <c r="A15" s="11" t="s">
        <v>12</v>
      </c>
      <c r="B15" s="13">
        <f>COUNTIF(Routes!Q2:Q63,0.75)</f>
      </c>
    </row>
    <row r="17" ht="48" customHeight="1" spans="1:3" x14ac:dyDescent="0.25">
      <c r="A17" s="3" t="s">
        <v>13</v>
      </c>
      <c r="B17" s="3"/>
      <c r="C17" s="3"/>
    </row>
    <row r="19" ht="32" customHeight="1" spans="1:3" x14ac:dyDescent="0.25">
      <c r="A19" s="14" t="s">
        <v>14</v>
      </c>
      <c r="B19" s="14"/>
      <c r="C19" s="14"/>
    </row>
    <row r="20" ht="48" customHeight="1" spans="1:3" x14ac:dyDescent="0.25">
      <c r="A20" s="3" t="s">
        <v>15</v>
      </c>
      <c r="B20" s="3"/>
      <c r="C20" s="3"/>
    </row>
    <row r="21" ht="48" customHeight="1" spans="1:3" x14ac:dyDescent="0.25">
      <c r="A21" s="3" t="s">
        <v>16</v>
      </c>
      <c r="B21" s="3"/>
      <c r="C21" s="3"/>
    </row>
    <row r="23" ht="32" customHeight="1" spans="1:3" x14ac:dyDescent="0.25">
      <c r="A23" s="15" t="s">
        <v>17</v>
      </c>
      <c r="B23" s="15"/>
      <c r="C23" s="15"/>
    </row>
  </sheetData>
  <mergeCells count="8">
    <mergeCell ref="A1:C1"/>
    <mergeCell ref="A2:C2"/>
    <mergeCell ref="A4:C4"/>
    <mergeCell ref="A17:C17"/>
    <mergeCell ref="A19:C19"/>
    <mergeCell ref="A20:C20"/>
    <mergeCell ref="A21:C21"/>
    <mergeCell ref="A23:C23"/>
  </mergeCells>
  <printOptions horizontalCentered="1"/>
  <pageMargins left="0.7" right="0.7" top="0.7" bottom="0.6" header="0.3" footer="0.3"/>
  <pageSetup paperSize="1" orientation="portrait" horizontalDpi="4294967295" verticalDpi="4294967295" scale="100" fitToWidth="1" fitToHeight="1" firstPageNumber="1" useFirstPageNumber="1" copies="1"/>
  <headerFooter>
    <oddFooter>&amp;LContracted clocks as of October 5, 2026&amp;RPage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Routes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Teamster Time Changes Dashboard</dc:creator>
  <dc:title>Proposed quarter-hour contract clocks</dc:title>
  <dc:subject>Route clock comparison for one school day, October 5, 2026</dc:subject>
  <dc:description/>
  <cp:keywords/>
  <cp:category/>
  <cp:lastModifiedBy>Unknown</cp:lastModifiedBy>
  <dcterms:created xsi:type="dcterms:W3CDTF">2026-10-05T17:00:00Z</dcterms:created>
  <dcterms:modified xsi:type="dcterms:W3CDTF">2026-10-05T17:08:26Z</dcterms:modified>
</cp:coreProperties>
</file>